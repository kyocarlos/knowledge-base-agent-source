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atty" sheetId="2" state="visible" r:id="rId2"/>
    <sheet xmlns:r="http://schemas.openxmlformats.org/officeDocument/2006/relationships" name="Anderson" sheetId="3" state="visible" r:id="rId3"/>
    <sheet xmlns:r="http://schemas.openxmlformats.org/officeDocument/2006/relationships" name="Jimmy" sheetId="4" state="visible" r:id="rId4"/>
    <sheet xmlns:r="http://schemas.openxmlformats.org/officeDocument/2006/relationships" name="Alf" sheetId="5" state="visible" r:id="rId5"/>
    <sheet xmlns:r="http://schemas.openxmlformats.org/officeDocument/2006/relationships" name="Sam" sheetId="6" state="visible" r:id="rId6"/>
    <sheet xmlns:r="http://schemas.openxmlformats.org/officeDocument/2006/relationships" name="T1開發計劃" sheetId="7" state="visible" r:id="rId7"/>
    <sheet xmlns:r="http://schemas.openxmlformats.org/officeDocument/2006/relationships" name="T2開發計劃" sheetId="8" state="visible" r:id="rId8"/>
    <sheet xmlns:r="http://schemas.openxmlformats.org/officeDocument/2006/relationships" name="T3開發計劃" sheetId="9" state="visible" r:id="rId9"/>
    <sheet xmlns:r="http://schemas.openxmlformats.org/officeDocument/2006/relationships" name="T4開發計劃" sheetId="10" state="visible" r:id="rId10"/>
    <sheet xmlns:r="http://schemas.openxmlformats.org/officeDocument/2006/relationships" name="T5開發計劃" sheetId="11" state="visible" r:id="rId11"/>
    <sheet xmlns:r="http://schemas.openxmlformats.org/officeDocument/2006/relationships" name="T6開發計劃" sheetId="12" state="visible" r:id="rId12"/>
    <sheet xmlns:r="http://schemas.openxmlformats.org/officeDocument/2006/relationships" name="T7開發計劃" sheetId="13" state="visible" r:id="rId13"/>
    <sheet xmlns:r="http://schemas.openxmlformats.org/officeDocument/2006/relationships" name="T8開發計劃" sheetId="14" state="visible" r:id="rId14"/>
    <sheet xmlns:r="http://schemas.openxmlformats.org/officeDocument/2006/relationships" name="T9 教育訓練" sheetId="15" state="visible" r:id="rId15"/>
  </sheets>
  <definedNames>
    <definedName name="_xlnm.Print_Area" localSheetId="2">'Anderson'!$A$1:$L$35</definedName>
    <definedName name="_xlnm.Print_Area" localSheetId="7">'T2開發計劃'!$A$1:$O$36</definedName>
  </definedNames>
  <calcPr calcId="124519" fullCalcOnLoad="1" refMode="A1" iterate="0" iterateCount="0" iterateDelta="0.000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yyyy\-mm\-dd\ h:mm:ss"/>
    <numFmt numFmtId="166" formatCode="yyyy/m/d"/>
    <numFmt numFmtId="167" formatCode="0\%"/>
  </numFmts>
  <fonts count="44">
    <font>
      <name val="新細明體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5"/>
    </font>
    <font>
      <name val="新細明體"/>
      <charset val="1"/>
      <family val="0"/>
      <i val="1"/>
      <color rgb="FF666666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375623"/>
      <sz val="10"/>
    </font>
    <font>
      <name val="Calibri"/>
      <charset val="1"/>
      <family val="0"/>
      <color rgb="FF000000"/>
      <sz val="10"/>
    </font>
    <font>
      <name val="Calibri"/>
      <charset val="1"/>
      <family val="0"/>
      <color rgb="FFC00000"/>
      <sz val="10"/>
    </font>
    <font>
      <name val="Calibri"/>
      <charset val="1"/>
      <family val="0"/>
      <color rgb="FF595959"/>
      <sz val="9"/>
    </font>
    <font>
      <name val="Calibri"/>
      <charset val="1"/>
      <family val="0"/>
      <color rgb="FF7F6000"/>
      <sz val="10"/>
    </font>
    <font>
      <name val="新細明體"/>
      <charset val="1"/>
      <family val="0"/>
      <b val="1"/>
      <color rgb="FFFFFFFF"/>
      <sz val="12"/>
    </font>
    <font>
      <name val="新細明體"/>
      <charset val="1"/>
      <family val="0"/>
      <b val="1"/>
      <color rgb="FF000000"/>
      <sz val="11"/>
    </font>
    <font>
      <name val="新細明體"/>
      <charset val="1"/>
      <family val="0"/>
      <b val="1"/>
      <color rgb="FFFFFFFF"/>
      <sz val="11"/>
    </font>
    <font>
      <name val="新細明體"/>
      <charset val="1"/>
      <family val="0"/>
      <sz val="10"/>
    </font>
    <font>
      <name val="新細明體"/>
      <charset val="1"/>
      <family val="0"/>
      <b val="1"/>
      <sz val="10"/>
    </font>
    <font>
      <name val="新細明體"/>
      <charset val="1"/>
      <family val="0"/>
      <b val="1"/>
      <color rgb="FFC00000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7F3C02"/>
      <sz val="10"/>
    </font>
    <font>
      <name val="Calibri"/>
      <charset val="1"/>
      <family val="0"/>
      <b val="1"/>
      <color rgb="FF7F3C02"/>
      <sz val="10"/>
    </font>
    <font>
      <name val="Calibri"/>
      <charset val="1"/>
      <family val="0"/>
      <color rgb="FF000000"/>
      <sz val="9"/>
    </font>
    <font>
      <name val="Calibri"/>
      <charset val="1"/>
      <family val="0"/>
      <color rgb="FF1B4332"/>
      <sz val="10"/>
    </font>
    <font>
      <name val="Calibri"/>
      <charset val="1"/>
      <family val="0"/>
      <b val="1"/>
      <color rgb="FF1B4332"/>
      <sz val="10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color rgb="FF5B2C6F"/>
      <sz val="10"/>
    </font>
    <font>
      <name val="Calibri"/>
      <charset val="1"/>
      <family val="0"/>
      <b val="1"/>
      <color rgb="FF5B2C6F"/>
      <sz val="10"/>
    </font>
    <font>
      <name val="Calibri"/>
      <charset val="1"/>
      <family val="0"/>
      <color rgb="FF2D6A4F"/>
      <sz val="10"/>
    </font>
    <font>
      <name val="Calibri"/>
      <charset val="1"/>
      <family val="0"/>
      <b val="1"/>
      <color rgb="FF2D6A4F"/>
      <sz val="10"/>
    </font>
    <font>
      <name val="Calibri"/>
      <charset val="1"/>
      <family val="0"/>
      <b val="1"/>
      <color rgb="FF7F6000"/>
      <sz val="10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color rgb="FF2D6A4F"/>
      <sz val="9"/>
    </font>
    <font>
      <name val="Calibri"/>
      <charset val="1"/>
      <family val="0"/>
      <color rgb="FF2D6A4F"/>
      <sz val="9"/>
    </font>
    <font>
      <name val="Calibri"/>
      <charset val="1"/>
      <family val="0"/>
      <sz val="9"/>
    </font>
    <font>
      <name val="Calibri"/>
      <charset val="1"/>
      <family val="0"/>
      <b val="1"/>
      <sz val="11"/>
    </font>
    <font>
      <name val="Calibri"/>
      <charset val="1"/>
      <family val="0"/>
      <b val="1"/>
      <color rgb="FF5B2C6F"/>
      <sz val="9"/>
    </font>
    <font>
      <name val="Calibri"/>
      <charset val="1"/>
      <family val="0"/>
      <color rgb="FF5B2C6F"/>
      <sz val="9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b val="1"/>
      <color rgb="FF2E75B6"/>
      <sz val="10"/>
    </font>
    <font>
      <name val="Calibri"/>
      <charset val="1"/>
      <family val="0"/>
      <b val="1"/>
      <color rgb="FF9C0006"/>
      <sz val="10"/>
    </font>
    <font>
      <name val="Calibri"/>
      <charset val="1"/>
      <family val="0"/>
      <color rgb="FF375623"/>
      <sz val="10"/>
    </font>
    <font>
      <name val="Calibri"/>
      <charset val="1"/>
      <family val="0"/>
      <b val="1"/>
      <color rgb="FFC00000"/>
      <sz val="10"/>
    </font>
    <font>
      <name val="Calibri"/>
      <charset val="1"/>
      <family val="0"/>
      <color rgb="FF9C5700"/>
      <sz val="10"/>
    </font>
    <font>
      <name val="Calibri"/>
      <charset val="1"/>
      <family val="0"/>
      <b val="1"/>
      <color rgb="FF9C5700"/>
      <sz val="10"/>
    </font>
  </fonts>
  <fills count="34">
    <fill>
      <patternFill/>
    </fill>
    <fill>
      <patternFill patternType="gray125"/>
    </fill>
    <fill>
      <patternFill patternType="solid">
        <fgColor rgb="FF1F3864"/>
        <bgColor rgb="FF1B4332"/>
      </patternFill>
    </fill>
    <fill>
      <patternFill patternType="solid">
        <fgColor rgb="FF2E75B6"/>
        <bgColor rgb="FF4472C4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AD3"/>
      </patternFill>
    </fill>
    <fill>
      <patternFill patternType="solid">
        <fgColor rgb="FFF2F2F2"/>
        <bgColor rgb="FFEBF3FB"/>
      </patternFill>
    </fill>
    <fill>
      <patternFill patternType="solid">
        <fgColor rgb="FFFFF2CC"/>
        <bgColor rgb="FFFFF9E6"/>
      </patternFill>
    </fill>
    <fill>
      <patternFill patternType="solid">
        <fgColor rgb="FFEAD1DC"/>
        <bgColor rgb="FFFFC7CE"/>
      </patternFill>
    </fill>
    <fill>
      <patternFill patternType="solid">
        <fgColor rgb="FFD9EAD3"/>
        <bgColor rgb="FFE2EFDA"/>
      </patternFill>
    </fill>
    <fill>
      <patternFill patternType="solid">
        <fgColor rgb="FF4472C4"/>
        <bgColor rgb="FF2E75B6"/>
      </patternFill>
    </fill>
    <fill>
      <patternFill patternType="solid">
        <fgColor rgb="FFFFD700"/>
        <bgColor rgb="FFFFFF00"/>
      </patternFill>
    </fill>
    <fill>
      <patternFill patternType="solid">
        <fgColor rgb="FFFF8C00"/>
        <bgColor rgb="FFE67E22"/>
      </patternFill>
    </fill>
    <fill>
      <patternFill patternType="solid">
        <fgColor rgb="FF2E5C8A"/>
        <bgColor rgb="FF1F618D"/>
      </patternFill>
    </fill>
    <fill>
      <patternFill patternType="solid">
        <fgColor rgb="FFC00000"/>
        <bgColor rgb="FF9C0006"/>
      </patternFill>
    </fill>
    <fill>
      <patternFill patternType="solid">
        <fgColor rgb="FFFFFF00"/>
        <bgColor rgb="FFFFD700"/>
      </patternFill>
    </fill>
    <fill>
      <patternFill patternType="solid">
        <fgColor rgb="FF27AE60"/>
        <bgColor rgb="FF148F77"/>
      </patternFill>
    </fill>
    <fill>
      <patternFill patternType="solid">
        <fgColor rgb="FF2D6A4F"/>
        <bgColor rgb="FF375623"/>
      </patternFill>
    </fill>
    <fill>
      <patternFill patternType="solid">
        <fgColor rgb="FFD9E1F2"/>
        <bgColor rgb="FFD6E4F0"/>
      </patternFill>
    </fill>
    <fill>
      <patternFill patternType="solid">
        <fgColor rgb="FF1F618D"/>
        <bgColor rgb="FF2E5C8A"/>
      </patternFill>
    </fill>
    <fill>
      <patternFill patternType="solid">
        <fgColor rgb="FF148F77"/>
        <bgColor rgb="FF27AE60"/>
      </patternFill>
    </fill>
    <fill>
      <patternFill patternType="solid">
        <fgColor rgb="FFD4AC0D"/>
        <bgColor rgb="FFFF8C00"/>
      </patternFill>
    </fill>
    <fill>
      <patternFill patternType="solid">
        <fgColor rgb="FF1A5276"/>
        <bgColor rgb="FF1F618D"/>
      </patternFill>
    </fill>
    <fill>
      <patternFill patternType="solid">
        <fgColor rgb="FFE67E22"/>
        <bgColor rgb="FFFF8C00"/>
      </patternFill>
    </fill>
    <fill>
      <patternFill patternType="solid">
        <fgColor rgb="FF7B2D8B"/>
        <bgColor rgb="FF5B2C6F"/>
      </patternFill>
    </fill>
    <fill>
      <patternFill patternType="solid">
        <fgColor rgb="FFFFEB9C"/>
        <bgColor rgb="FFFFF2CC"/>
      </patternFill>
    </fill>
    <fill>
      <patternFill patternType="solid">
        <fgColor rgb="FFFFF9E6"/>
        <bgColor rgb="FFFFFFFF"/>
      </patternFill>
    </fill>
    <fill>
      <patternFill patternType="solid">
        <fgColor rgb="FFFFC7CE"/>
        <bgColor rgb="FFEAD1DC"/>
      </patternFill>
    </fill>
    <fill>
      <patternFill patternType="solid">
        <fgColor rgb="FFC6EFCE"/>
        <bgColor rgb="FFD9EAD3"/>
      </patternFill>
    </fill>
    <fill>
      <patternFill patternType="solid">
        <fgColor rgb="FFD6E4F0"/>
        <bgColor rgb="FFD9E1F2"/>
      </patternFill>
    </fill>
    <fill>
      <patternFill patternType="solid">
        <fgColor rgb="FFFFFFFF"/>
        <bgColor rgb="FFFFF9E6"/>
      </patternFill>
    </fill>
    <fill>
      <patternFill patternType="solid">
        <fgColor rgb="FFEBF3FB"/>
        <bgColor rgb="FFF2F2F2"/>
      </patternFill>
    </fill>
    <fill>
      <patternFill patternType="solid">
        <fgColor rgb="FFDAE8F7"/>
        <bgColor rgb="FFD6E4F0"/>
      </patternFill>
    </fill>
    <fill>
      <patternFill patternType="solid">
        <fgColor rgb="FF375623"/>
        <bgColor rgb="FF1B4332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13" fillId="11" borderId="2" applyAlignment="1" pivotButton="0" quotePrefix="0" xfId="0">
      <alignment horizontal="center" vertical="center" wrapText="1"/>
    </xf>
    <xf numFmtId="0" fontId="13" fillId="12" borderId="2" applyAlignment="1" pivotButton="0" quotePrefix="0" xfId="0">
      <alignment horizontal="center" vertical="center" wrapText="1"/>
    </xf>
    <xf numFmtId="0" fontId="14" fillId="1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top" wrapText="1"/>
    </xf>
    <xf numFmtId="0" fontId="14" fillId="14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top" wrapText="1"/>
    </xf>
    <xf numFmtId="164" fontId="15" fillId="0" borderId="2" applyAlignment="1" pivotButton="0" quotePrefix="0" xfId="0">
      <alignment horizontal="center" vertical="top" wrapText="1"/>
    </xf>
    <xf numFmtId="0" fontId="15" fillId="0" borderId="2" applyAlignment="1" pivotButton="0" quotePrefix="0" xfId="0">
      <alignment horizontal="center" vertical="top" wrapText="1"/>
    </xf>
    <xf numFmtId="0" fontId="14" fillId="13" borderId="2" applyAlignment="1" pivotButton="0" quotePrefix="0" xfId="0">
      <alignment horizontal="left" vertical="center" wrapText="1"/>
    </xf>
    <xf numFmtId="165" fontId="0" fillId="0" borderId="0" applyAlignment="1" pivotButton="0" quotePrefix="0" xfId="0">
      <alignment horizontal="general" vertical="bottom"/>
    </xf>
    <xf numFmtId="166" fontId="15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general" vertical="bottom" wrapText="1"/>
    </xf>
    <xf numFmtId="0" fontId="5" fillId="0" borderId="3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18" fillId="3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 wrapText="1"/>
    </xf>
    <xf numFmtId="167" fontId="8" fillId="4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167" fontId="8" fillId="5" borderId="1" applyAlignment="1" pivotButton="0" quotePrefix="0" xfId="0">
      <alignment horizontal="center" vertical="center"/>
    </xf>
    <xf numFmtId="0" fontId="24" fillId="17" borderId="3" applyAlignment="1" pivotButton="0" quotePrefix="0" xfId="0">
      <alignment horizontal="center" vertical="center"/>
    </xf>
    <xf numFmtId="0" fontId="12" fillId="1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24" fillId="17" borderId="0" applyAlignment="1" pivotButton="0" quotePrefix="0" xfId="0">
      <alignment horizontal="center" vertical="center"/>
    </xf>
    <xf numFmtId="0" fontId="10" fillId="18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top" wrapText="1"/>
    </xf>
    <xf numFmtId="0" fontId="20" fillId="4" borderId="1" applyAlignment="1" pivotButton="0" quotePrefix="0" xfId="0">
      <alignment horizontal="center" vertical="top" wrapText="1"/>
    </xf>
    <xf numFmtId="0" fontId="20" fillId="4" borderId="1" applyAlignment="1" pivotButton="0" quotePrefix="0" xfId="0">
      <alignment horizontal="left" vertical="top" wrapText="1"/>
    </xf>
    <xf numFmtId="0" fontId="19" fillId="4" borderId="1" applyAlignment="1" pivotButton="0" quotePrefix="0" xfId="0">
      <alignment horizontal="center" vertical="top" wrapText="1"/>
    </xf>
    <xf numFmtId="164" fontId="19" fillId="4" borderId="1" applyAlignment="1" pivotButton="0" quotePrefix="0" xfId="0">
      <alignment horizontal="center" vertical="top" wrapText="1"/>
    </xf>
    <xf numFmtId="164" fontId="8" fillId="15" borderId="1" applyAlignment="1" pivotButton="0" quotePrefix="0" xfId="0">
      <alignment horizontal="center" vertical="top" wrapText="1"/>
    </xf>
    <xf numFmtId="0" fontId="21" fillId="0" borderId="1" applyAlignment="1" pivotButton="0" quotePrefix="0" xfId="0">
      <alignment horizontal="center" vertical="top" wrapText="1"/>
    </xf>
    <xf numFmtId="167" fontId="8" fillId="4" borderId="1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6" fillId="19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left" vertical="top" wrapText="1"/>
    </xf>
    <xf numFmtId="0" fontId="23" fillId="5" borderId="1" applyAlignment="1" pivotButton="0" quotePrefix="0" xfId="0">
      <alignment horizontal="center" vertical="top" wrapText="1"/>
    </xf>
    <xf numFmtId="0" fontId="23" fillId="5" borderId="1" applyAlignment="1" pivotButton="0" quotePrefix="0" xfId="0">
      <alignment horizontal="left" vertical="top" wrapText="1"/>
    </xf>
    <xf numFmtId="0" fontId="22" fillId="5" borderId="1" applyAlignment="1" pivotButton="0" quotePrefix="0" xfId="0">
      <alignment horizontal="center" vertical="top" wrapText="1"/>
    </xf>
    <xf numFmtId="164" fontId="22" fillId="5" borderId="1" applyAlignment="1" pivotButton="0" quotePrefix="0" xfId="0">
      <alignment horizontal="center" vertical="top" wrapText="1"/>
    </xf>
    <xf numFmtId="167" fontId="8" fillId="5" borderId="1" applyAlignment="1" pivotButton="0" quotePrefix="0" xfId="0">
      <alignment horizontal="center" vertical="top" wrapText="1"/>
    </xf>
    <xf numFmtId="0" fontId="6" fillId="20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6" fillId="23" borderId="1" applyAlignment="1" pivotButton="0" quotePrefix="0" xfId="0">
      <alignment horizontal="center" vertical="center"/>
    </xf>
    <xf numFmtId="0" fontId="25" fillId="8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left" vertical="center" wrapText="1"/>
    </xf>
    <xf numFmtId="0" fontId="25" fillId="8" borderId="1" applyAlignment="1" pivotButton="0" quotePrefix="0" xfId="0">
      <alignment horizontal="left" vertical="center" wrapText="1"/>
    </xf>
    <xf numFmtId="167" fontId="8" fillId="8" borderId="1" applyAlignment="1" pivotButton="0" quotePrefix="0" xfId="0">
      <alignment horizontal="center" vertical="center"/>
    </xf>
    <xf numFmtId="0" fontId="24" fillId="24" borderId="0" applyAlignment="1" pivotButton="0" quotePrefix="0" xfId="0">
      <alignment horizontal="center" vertical="center"/>
    </xf>
    <xf numFmtId="0" fontId="27" fillId="9" borderId="1" applyAlignment="1" pivotButton="0" quotePrefix="0" xfId="0">
      <alignment horizontal="center" vertical="center"/>
    </xf>
    <xf numFmtId="0" fontId="28" fillId="9" borderId="1" applyAlignment="1" pivotButton="0" quotePrefix="0" xfId="0">
      <alignment horizontal="center" vertical="center"/>
    </xf>
    <xf numFmtId="0" fontId="28" fillId="9" borderId="1" applyAlignment="1" pivotButton="0" quotePrefix="0" xfId="0">
      <alignment horizontal="left" vertical="center" wrapText="1"/>
    </xf>
    <xf numFmtId="0" fontId="27" fillId="9" borderId="1" applyAlignment="1" pivotButton="0" quotePrefix="0" xfId="0">
      <alignment horizontal="left" vertical="center" wrapText="1"/>
    </xf>
    <xf numFmtId="167" fontId="8" fillId="9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29" fillId="7" borderId="1" applyAlignment="1" pivotButton="0" quotePrefix="0" xfId="0">
      <alignment horizontal="center" vertical="center"/>
    </xf>
    <xf numFmtId="0" fontId="29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167" fontId="8" fillId="7" borderId="1" applyAlignment="1" pivotButton="0" quotePrefix="0" xfId="0">
      <alignment horizontal="center" vertical="center"/>
    </xf>
    <xf numFmtId="0" fontId="24" fillId="2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8" fillId="3" borderId="1" applyAlignment="1" pivotButton="0" quotePrefix="0" xfId="0">
      <alignment horizontal="center" vertical="center" wrapText="1"/>
    </xf>
    <xf numFmtId="0" fontId="30" fillId="3" borderId="1" applyAlignment="1" pivotButton="0" quotePrefix="0" xfId="0">
      <alignment horizontal="left" vertical="center"/>
    </xf>
    <xf numFmtId="0" fontId="31" fillId="9" borderId="1" applyAlignment="1" pivotButton="0" quotePrefix="0" xfId="0">
      <alignment horizontal="center" vertical="center" wrapText="1"/>
    </xf>
    <xf numFmtId="0" fontId="32" fillId="9" borderId="1" applyAlignment="1" pivotButton="0" quotePrefix="0" xfId="0">
      <alignment horizontal="center" vertical="center" wrapText="1"/>
    </xf>
    <xf numFmtId="0" fontId="32" fillId="9" borderId="1" applyAlignment="1" pivotButton="0" quotePrefix="0" xfId="0">
      <alignment horizontal="left" vertical="center" wrapText="1"/>
    </xf>
    <xf numFmtId="0" fontId="33" fillId="25" borderId="1" applyAlignment="1" pivotButton="0" quotePrefix="0" xfId="0">
      <alignment horizontal="center" vertical="center"/>
    </xf>
    <xf numFmtId="0" fontId="33" fillId="9" borderId="1" applyAlignment="1" pivotButton="0" quotePrefix="0" xfId="0">
      <alignment horizontal="center" vertical="center"/>
    </xf>
    <xf numFmtId="167" fontId="34" fillId="9" borderId="1" applyAlignment="1" pivotButton="0" quotePrefix="0" xfId="0">
      <alignment horizontal="center" vertical="center"/>
    </xf>
    <xf numFmtId="0" fontId="30" fillId="19" borderId="1" applyAlignment="1" pivotButton="0" quotePrefix="0" xfId="0">
      <alignment horizontal="left" vertical="center"/>
    </xf>
    <xf numFmtId="0" fontId="35" fillId="8" borderId="1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left" vertical="center" wrapText="1"/>
    </xf>
    <xf numFmtId="0" fontId="33" fillId="8" borderId="1" applyAlignment="1" pivotButton="0" quotePrefix="0" xfId="0">
      <alignment horizontal="center" vertical="center"/>
    </xf>
    <xf numFmtId="167" fontId="34" fillId="8" borderId="1" applyAlignment="1" pivotButton="0" quotePrefix="0" xfId="0">
      <alignment horizontal="center" vertical="center"/>
    </xf>
    <xf numFmtId="0" fontId="30" fillId="20" borderId="1" applyAlignment="1" pivotButton="0" quotePrefix="0" xfId="0">
      <alignment horizontal="left" vertical="center"/>
    </xf>
    <xf numFmtId="0" fontId="30" fillId="16" borderId="1" applyAlignment="1" pivotButton="0" quotePrefix="0" xfId="0">
      <alignment horizontal="left" vertical="center"/>
    </xf>
    <xf numFmtId="0" fontId="30" fillId="21" borderId="1" applyAlignment="1" pivotButton="0" quotePrefix="0" xfId="0">
      <alignment horizontal="left" vertical="center"/>
    </xf>
    <xf numFmtId="0" fontId="30" fillId="22" borderId="1" applyAlignment="1" pivotButton="0" quotePrefix="0" xfId="0">
      <alignment horizontal="left" vertical="center"/>
    </xf>
    <xf numFmtId="0" fontId="30" fillId="23" borderId="1" applyAlignment="1" pivotButton="0" quotePrefix="0" xfId="0">
      <alignment horizontal="left" vertical="center"/>
    </xf>
    <xf numFmtId="0" fontId="24" fillId="2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 wrapText="1"/>
    </xf>
    <xf numFmtId="0" fontId="37" fillId="26" borderId="1" applyAlignment="1" pivotButton="0" quotePrefix="0" xfId="0">
      <alignment horizontal="center" vertical="center" wrapText="1"/>
    </xf>
    <xf numFmtId="0" fontId="38" fillId="26" borderId="1" applyAlignment="1" pivotButton="0" quotePrefix="0" xfId="0">
      <alignment horizontal="center" vertical="center" wrapText="1"/>
    </xf>
    <xf numFmtId="0" fontId="37" fillId="26" borderId="1" applyAlignment="1" pivotButton="0" quotePrefix="0" xfId="0">
      <alignment horizontal="left" vertical="center" wrapText="1"/>
    </xf>
    <xf numFmtId="0" fontId="8" fillId="26" borderId="1" applyAlignment="1" pivotButton="0" quotePrefix="0" xfId="0">
      <alignment horizontal="center" vertical="center" wrapText="1"/>
    </xf>
    <xf numFmtId="0" fontId="39" fillId="27" borderId="1" applyAlignment="1" pivotButton="0" quotePrefix="0" xfId="0">
      <alignment horizontal="center" vertical="center" wrapText="1"/>
    </xf>
    <xf numFmtId="0" fontId="40" fillId="28" borderId="1" applyAlignment="1" pivotButton="0" quotePrefix="0" xfId="0">
      <alignment horizontal="center" vertical="center" wrapText="1"/>
    </xf>
    <xf numFmtId="0" fontId="10" fillId="26" borderId="1" applyAlignment="1" pivotButton="0" quotePrefix="0" xfId="0">
      <alignment horizontal="left" vertical="center" wrapText="1"/>
    </xf>
    <xf numFmtId="0" fontId="38" fillId="29" borderId="1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left" vertical="center" wrapText="1"/>
    </xf>
    <xf numFmtId="0" fontId="41" fillId="29" borderId="1" applyAlignment="1" pivotButton="0" quotePrefix="0" xfId="0">
      <alignment horizontal="left" vertical="center" wrapText="1"/>
    </xf>
    <xf numFmtId="0" fontId="37" fillId="29" borderId="1" applyAlignment="1" pivotButton="0" quotePrefix="0" xfId="0">
      <alignment horizontal="center" vertical="center" wrapText="1"/>
    </xf>
    <xf numFmtId="0" fontId="37" fillId="29" borderId="1" applyAlignment="1" pivotButton="0" quotePrefix="0" xfId="0">
      <alignment horizontal="left" vertical="center" wrapText="1"/>
    </xf>
    <xf numFmtId="0" fontId="8" fillId="29" borderId="1" applyAlignment="1" pivotButton="0" quotePrefix="0" xfId="0">
      <alignment horizontal="center" vertical="center" wrapText="1"/>
    </xf>
    <xf numFmtId="0" fontId="42" fillId="25" borderId="1" applyAlignment="1" pivotButton="0" quotePrefix="0" xfId="0">
      <alignment horizontal="center" vertical="center" wrapText="1"/>
    </xf>
    <xf numFmtId="0" fontId="10" fillId="29" borderId="1" applyAlignment="1" pivotButton="0" quotePrefix="0" xfId="0">
      <alignment horizontal="left" vertical="center" wrapText="1"/>
    </xf>
    <xf numFmtId="0" fontId="38" fillId="30" borderId="1" applyAlignment="1" pivotButton="0" quotePrefix="0" xfId="0">
      <alignment horizontal="center" vertical="center" wrapText="1"/>
    </xf>
    <xf numFmtId="0" fontId="8" fillId="30" borderId="1" applyAlignment="1" pivotButton="0" quotePrefix="0" xfId="0">
      <alignment horizontal="left" vertical="center" wrapText="1"/>
    </xf>
    <xf numFmtId="0" fontId="41" fillId="30" borderId="1" applyAlignment="1" pivotButton="0" quotePrefix="0" xfId="0">
      <alignment horizontal="left" vertical="center" wrapText="1"/>
    </xf>
    <xf numFmtId="0" fontId="37" fillId="31" borderId="1" applyAlignment="1" pivotButton="0" quotePrefix="0" xfId="0">
      <alignment horizontal="center" vertical="center" wrapText="1"/>
    </xf>
    <xf numFmtId="0" fontId="38" fillId="31" borderId="1" applyAlignment="1" pivotButton="0" quotePrefix="0" xfId="0">
      <alignment horizontal="center" vertical="center" wrapText="1"/>
    </xf>
    <xf numFmtId="0" fontId="37" fillId="31" borderId="1" applyAlignment="1" pivotButton="0" quotePrefix="0" xfId="0">
      <alignment horizontal="left" vertical="center" wrapText="1"/>
    </xf>
    <xf numFmtId="0" fontId="8" fillId="31" borderId="1" applyAlignment="1" pivotButton="0" quotePrefix="0" xfId="0">
      <alignment horizontal="center" vertical="center" wrapText="1"/>
    </xf>
    <xf numFmtId="0" fontId="10" fillId="31" borderId="1" applyAlignment="1" pivotButton="0" quotePrefix="0" xfId="0">
      <alignment horizontal="left" vertical="center" wrapText="1"/>
    </xf>
    <xf numFmtId="0" fontId="37" fillId="9" borderId="1" applyAlignment="1" pivotButton="0" quotePrefix="0" xfId="0">
      <alignment horizontal="center" vertical="center" wrapText="1"/>
    </xf>
    <xf numFmtId="0" fontId="38" fillId="9" borderId="1" applyAlignment="1" pivotButton="0" quotePrefix="0" xfId="0">
      <alignment horizontal="center" vertical="center" wrapText="1"/>
    </xf>
    <xf numFmtId="0" fontId="37" fillId="9" borderId="1" applyAlignment="1" pivotButton="0" quotePrefix="0" xfId="0">
      <alignment horizontal="left" vertical="center" wrapText="1"/>
    </xf>
    <xf numFmtId="0" fontId="29" fillId="30" borderId="1" applyAlignment="1" pivotButton="0" quotePrefix="0" xfId="0">
      <alignment horizontal="left" vertical="center" wrapText="1"/>
    </xf>
    <xf numFmtId="0" fontId="43" fillId="25" borderId="1" applyAlignment="1" pivotButton="0" quotePrefix="0" xfId="0">
      <alignment horizontal="center" vertical="center" wrapText="1"/>
    </xf>
    <xf numFmtId="0" fontId="37" fillId="5" borderId="1" applyAlignment="1" pivotButton="0" quotePrefix="0" xfId="0">
      <alignment horizontal="center" vertical="center" wrapText="1"/>
    </xf>
    <xf numFmtId="0" fontId="38" fillId="5" borderId="1" applyAlignment="1" pivotButton="0" quotePrefix="0" xfId="0">
      <alignment horizontal="center" vertical="center" wrapText="1"/>
    </xf>
    <xf numFmtId="0" fontId="37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38" fillId="32" borderId="1" applyAlignment="1" pivotButton="0" quotePrefix="0" xfId="0">
      <alignment horizontal="center" vertical="center" wrapText="1"/>
    </xf>
    <xf numFmtId="0" fontId="8" fillId="32" borderId="1" applyAlignment="1" pivotButton="0" quotePrefix="0" xfId="0">
      <alignment horizontal="left" vertical="center" wrapText="1"/>
    </xf>
    <xf numFmtId="0" fontId="7" fillId="32" borderId="1" applyAlignment="1" pivotButton="0" quotePrefix="0" xfId="0">
      <alignment horizontal="left" vertical="center" wrapText="1"/>
    </xf>
    <xf numFmtId="0" fontId="8" fillId="31" borderId="1" applyAlignment="1" pivotButton="0" quotePrefix="0" xfId="0">
      <alignment horizontal="left" vertical="center" wrapText="1"/>
    </xf>
    <xf numFmtId="0" fontId="7" fillId="31" borderId="1" applyAlignment="1" pivotButton="0" quotePrefix="0" xfId="0">
      <alignment horizontal="left" vertical="center" wrapText="1"/>
    </xf>
    <xf numFmtId="0" fontId="7" fillId="29" borderId="1" applyAlignment="1" pivotButton="0" quotePrefix="0" xfId="0">
      <alignment horizontal="left" vertical="center" wrapText="1"/>
    </xf>
    <xf numFmtId="0" fontId="38" fillId="29" borderId="1" applyAlignment="1" pivotButton="0" quotePrefix="0" xfId="0">
      <alignment horizontal="left" vertical="center" wrapText="1"/>
    </xf>
    <xf numFmtId="0" fontId="38" fillId="31" borderId="1" applyAlignment="1" pivotButton="0" quotePrefix="0" xfId="0">
      <alignment horizontal="left" vertical="center" wrapText="1"/>
    </xf>
    <xf numFmtId="0" fontId="38" fillId="9" borderId="1" applyAlignment="1" pivotButton="0" quotePrefix="0" xfId="0">
      <alignment horizontal="left" vertical="center" wrapText="1"/>
    </xf>
    <xf numFmtId="0" fontId="37" fillId="30" borderId="1" applyAlignment="1" pivotButton="0" quotePrefix="0" xfId="0">
      <alignment horizontal="left" vertical="center" wrapText="1"/>
    </xf>
    <xf numFmtId="0" fontId="8" fillId="30" borderId="1" applyAlignment="1" pivotButton="0" quotePrefix="0" xfId="0">
      <alignment horizontal="center" vertical="center" wrapText="1"/>
    </xf>
    <xf numFmtId="0" fontId="10" fillId="30" borderId="1" applyAlignment="1" pivotButton="0" quotePrefix="0" xfId="0">
      <alignment horizontal="left" vertical="center" wrapText="1"/>
    </xf>
    <xf numFmtId="0" fontId="7" fillId="28" borderId="1" applyAlignment="1" pivotButton="0" quotePrefix="0" xfId="0">
      <alignment horizontal="center" vertical="center" wrapText="1"/>
    </xf>
    <xf numFmtId="0" fontId="10" fillId="32" borderId="1" applyAlignment="1" pivotButton="0" quotePrefix="0" xfId="0">
      <alignment horizontal="left" vertical="center" wrapText="1"/>
    </xf>
    <xf numFmtId="0" fontId="12" fillId="33" borderId="0" applyAlignment="1" pivotButton="0" quotePrefix="0" xfId="0">
      <alignment horizontal="center" vertical="center"/>
    </xf>
    <xf numFmtId="0" fontId="14" fillId="33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top" wrapText="1"/>
    </xf>
    <xf numFmtId="0" fontId="13" fillId="11" borderId="2" applyAlignment="1" pivotButton="0" quotePrefix="0" xfId="0">
      <alignment horizontal="center" vertical="center" wrapText="1"/>
    </xf>
    <xf numFmtId="0" fontId="13" fillId="12" borderId="2" applyAlignment="1" pivotButton="0" quotePrefix="0" xfId="0">
      <alignment horizontal="center" vertical="center" wrapText="1"/>
    </xf>
    <xf numFmtId="0" fontId="14" fillId="1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top" wrapText="1"/>
    </xf>
    <xf numFmtId="0" fontId="14" fillId="14" borderId="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5" pivotButton="0" quotePrefix="0" xfId="0"/>
    <xf numFmtId="0" fontId="15" fillId="0" borderId="2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top" wrapText="1"/>
    </xf>
    <xf numFmtId="164" fontId="15" fillId="0" borderId="2" applyAlignment="1" pivotButton="0" quotePrefix="0" xfId="0">
      <alignment horizontal="center" vertical="top" wrapText="1"/>
    </xf>
    <xf numFmtId="0" fontId="15" fillId="0" borderId="2" applyAlignment="1" pivotButton="0" quotePrefix="0" xfId="0">
      <alignment horizontal="center" vertical="top" wrapText="1"/>
    </xf>
    <xf numFmtId="165" fontId="0" fillId="0" borderId="0" applyAlignment="1" pivotButton="0" quotePrefix="0" xfId="0">
      <alignment horizontal="general" vertical="bottom"/>
    </xf>
    <xf numFmtId="166" fontId="15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general" vertical="bottom" wrapText="1"/>
    </xf>
    <xf numFmtId="0" fontId="0" fillId="0" borderId="14" pivotButton="0" quotePrefix="0" xfId="0"/>
    <xf numFmtId="0" fontId="0" fillId="0" borderId="3" pivotButton="0" quotePrefix="0" xfId="0"/>
    <xf numFmtId="0" fontId="5" fillId="0" borderId="3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18" fillId="3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 wrapText="1"/>
    </xf>
    <xf numFmtId="167" fontId="8" fillId="4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167" fontId="8" fillId="5" borderId="1" applyAlignment="1" pivotButton="0" quotePrefix="0" xfId="0">
      <alignment horizontal="center" vertical="center"/>
    </xf>
    <xf numFmtId="0" fontId="24" fillId="17" borderId="3" applyAlignment="1" pivotButton="0" quotePrefix="0" xfId="0">
      <alignment horizontal="center" vertical="center"/>
    </xf>
    <xf numFmtId="0" fontId="12" fillId="1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24" fillId="17" borderId="0" applyAlignment="1" pivotButton="0" quotePrefix="0" xfId="0">
      <alignment horizontal="center" vertical="center"/>
    </xf>
    <xf numFmtId="0" fontId="10" fillId="18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top" wrapText="1"/>
    </xf>
    <xf numFmtId="0" fontId="20" fillId="4" borderId="1" applyAlignment="1" pivotButton="0" quotePrefix="0" xfId="0">
      <alignment horizontal="center" vertical="top" wrapText="1"/>
    </xf>
    <xf numFmtId="0" fontId="20" fillId="4" borderId="1" applyAlignment="1" pivotButton="0" quotePrefix="0" xfId="0">
      <alignment horizontal="left" vertical="top" wrapText="1"/>
    </xf>
    <xf numFmtId="0" fontId="19" fillId="4" borderId="1" applyAlignment="1" pivotButton="0" quotePrefix="0" xfId="0">
      <alignment horizontal="center" vertical="top" wrapText="1"/>
    </xf>
    <xf numFmtId="164" fontId="19" fillId="4" borderId="1" applyAlignment="1" pivotButton="0" quotePrefix="0" xfId="0">
      <alignment horizontal="center" vertical="top" wrapText="1"/>
    </xf>
    <xf numFmtId="164" fontId="8" fillId="15" borderId="1" applyAlignment="1" pivotButton="0" quotePrefix="0" xfId="0">
      <alignment horizontal="center" vertical="top" wrapText="1"/>
    </xf>
    <xf numFmtId="0" fontId="21" fillId="0" borderId="1" applyAlignment="1" pivotButton="0" quotePrefix="0" xfId="0">
      <alignment horizontal="center" vertical="top" wrapText="1"/>
    </xf>
    <xf numFmtId="167" fontId="8" fillId="4" borderId="1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6" fillId="19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left" vertical="top" wrapText="1"/>
    </xf>
    <xf numFmtId="0" fontId="23" fillId="5" borderId="1" applyAlignment="1" pivotButton="0" quotePrefix="0" xfId="0">
      <alignment horizontal="center" vertical="top" wrapText="1"/>
    </xf>
    <xf numFmtId="0" fontId="23" fillId="5" borderId="1" applyAlignment="1" pivotButton="0" quotePrefix="0" xfId="0">
      <alignment horizontal="left" vertical="top" wrapText="1"/>
    </xf>
    <xf numFmtId="0" fontId="22" fillId="5" borderId="1" applyAlignment="1" pivotButton="0" quotePrefix="0" xfId="0">
      <alignment horizontal="center" vertical="top" wrapText="1"/>
    </xf>
    <xf numFmtId="164" fontId="22" fillId="5" borderId="1" applyAlignment="1" pivotButton="0" quotePrefix="0" xfId="0">
      <alignment horizontal="center" vertical="top" wrapText="1"/>
    </xf>
    <xf numFmtId="167" fontId="8" fillId="5" borderId="1" applyAlignment="1" pivotButton="0" quotePrefix="0" xfId="0">
      <alignment horizontal="center" vertical="top" wrapText="1"/>
    </xf>
    <xf numFmtId="0" fontId="6" fillId="20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6" fillId="23" borderId="1" applyAlignment="1" pivotButton="0" quotePrefix="0" xfId="0">
      <alignment horizontal="center" vertical="center"/>
    </xf>
    <xf numFmtId="0" fontId="25" fillId="8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left" vertical="center" wrapText="1"/>
    </xf>
    <xf numFmtId="0" fontId="25" fillId="8" borderId="1" applyAlignment="1" pivotButton="0" quotePrefix="0" xfId="0">
      <alignment horizontal="left" vertical="center" wrapText="1"/>
    </xf>
    <xf numFmtId="167" fontId="8" fillId="8" borderId="1" applyAlignment="1" pivotButton="0" quotePrefix="0" xfId="0">
      <alignment horizontal="center" vertical="center"/>
    </xf>
    <xf numFmtId="0" fontId="24" fillId="24" borderId="0" applyAlignment="1" pivotButton="0" quotePrefix="0" xfId="0">
      <alignment horizontal="center" vertical="center"/>
    </xf>
    <xf numFmtId="0" fontId="27" fillId="9" borderId="1" applyAlignment="1" pivotButton="0" quotePrefix="0" xfId="0">
      <alignment horizontal="center" vertical="center"/>
    </xf>
    <xf numFmtId="0" fontId="28" fillId="9" borderId="1" applyAlignment="1" pivotButton="0" quotePrefix="0" xfId="0">
      <alignment horizontal="center" vertical="center"/>
    </xf>
    <xf numFmtId="0" fontId="28" fillId="9" borderId="1" applyAlignment="1" pivotButton="0" quotePrefix="0" xfId="0">
      <alignment horizontal="left" vertical="center" wrapText="1"/>
    </xf>
    <xf numFmtId="0" fontId="27" fillId="9" borderId="1" applyAlignment="1" pivotButton="0" quotePrefix="0" xfId="0">
      <alignment horizontal="left" vertical="center" wrapText="1"/>
    </xf>
    <xf numFmtId="167" fontId="8" fillId="9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29" fillId="7" borderId="1" applyAlignment="1" pivotButton="0" quotePrefix="0" xfId="0">
      <alignment horizontal="center" vertical="center"/>
    </xf>
    <xf numFmtId="0" fontId="29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167" fontId="8" fillId="7" borderId="1" applyAlignment="1" pivotButton="0" quotePrefix="0" xfId="0">
      <alignment horizontal="center" vertical="center"/>
    </xf>
    <xf numFmtId="0" fontId="24" fillId="2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8" fillId="3" borderId="1" applyAlignment="1" pivotButton="0" quotePrefix="0" xfId="0">
      <alignment horizontal="center" vertical="center" wrapText="1"/>
    </xf>
    <xf numFmtId="0" fontId="30" fillId="3" borderId="1" applyAlignment="1" pivotButton="0" quotePrefix="0" xfId="0">
      <alignment horizontal="left" vertical="center"/>
    </xf>
    <xf numFmtId="0" fontId="31" fillId="9" borderId="1" applyAlignment="1" pivotButton="0" quotePrefix="0" xfId="0">
      <alignment horizontal="center" vertical="center" wrapText="1"/>
    </xf>
    <xf numFmtId="0" fontId="32" fillId="9" borderId="1" applyAlignment="1" pivotButton="0" quotePrefix="0" xfId="0">
      <alignment horizontal="center" vertical="center" wrapText="1"/>
    </xf>
    <xf numFmtId="0" fontId="32" fillId="9" borderId="1" applyAlignment="1" pivotButton="0" quotePrefix="0" xfId="0">
      <alignment horizontal="left" vertical="center" wrapText="1"/>
    </xf>
    <xf numFmtId="0" fontId="33" fillId="25" borderId="1" applyAlignment="1" pivotButton="0" quotePrefix="0" xfId="0">
      <alignment horizontal="center" vertical="center"/>
    </xf>
    <xf numFmtId="0" fontId="33" fillId="9" borderId="1" applyAlignment="1" pivotButton="0" quotePrefix="0" xfId="0">
      <alignment horizontal="center" vertical="center"/>
    </xf>
    <xf numFmtId="167" fontId="34" fillId="9" borderId="1" applyAlignment="1" pivotButton="0" quotePrefix="0" xfId="0">
      <alignment horizontal="center" vertical="center"/>
    </xf>
    <xf numFmtId="0" fontId="30" fillId="19" borderId="1" applyAlignment="1" pivotButton="0" quotePrefix="0" xfId="0">
      <alignment horizontal="left" vertical="center"/>
    </xf>
    <xf numFmtId="0" fontId="35" fillId="8" borderId="1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left" vertical="center" wrapText="1"/>
    </xf>
    <xf numFmtId="0" fontId="33" fillId="8" borderId="1" applyAlignment="1" pivotButton="0" quotePrefix="0" xfId="0">
      <alignment horizontal="center" vertical="center"/>
    </xf>
    <xf numFmtId="167" fontId="34" fillId="8" borderId="1" applyAlignment="1" pivotButton="0" quotePrefix="0" xfId="0">
      <alignment horizontal="center" vertical="center"/>
    </xf>
    <xf numFmtId="0" fontId="30" fillId="20" borderId="1" applyAlignment="1" pivotButton="0" quotePrefix="0" xfId="0">
      <alignment horizontal="left" vertical="center"/>
    </xf>
    <xf numFmtId="0" fontId="30" fillId="16" borderId="1" applyAlignment="1" pivotButton="0" quotePrefix="0" xfId="0">
      <alignment horizontal="left" vertical="center"/>
    </xf>
    <xf numFmtId="0" fontId="30" fillId="21" borderId="1" applyAlignment="1" pivotButton="0" quotePrefix="0" xfId="0">
      <alignment horizontal="left" vertical="center"/>
    </xf>
    <xf numFmtId="0" fontId="30" fillId="22" borderId="1" applyAlignment="1" pivotButton="0" quotePrefix="0" xfId="0">
      <alignment horizontal="left" vertical="center"/>
    </xf>
    <xf numFmtId="0" fontId="30" fillId="23" borderId="1" applyAlignment="1" pivotButton="0" quotePrefix="0" xfId="0">
      <alignment horizontal="left" vertical="center"/>
    </xf>
    <xf numFmtId="0" fontId="24" fillId="2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 wrapText="1"/>
    </xf>
    <xf numFmtId="0" fontId="37" fillId="26" borderId="1" applyAlignment="1" pivotButton="0" quotePrefix="0" xfId="0">
      <alignment horizontal="center" vertical="center" wrapText="1"/>
    </xf>
    <xf numFmtId="0" fontId="38" fillId="26" borderId="1" applyAlignment="1" pivotButton="0" quotePrefix="0" xfId="0">
      <alignment horizontal="center" vertical="center" wrapText="1"/>
    </xf>
    <xf numFmtId="0" fontId="37" fillId="26" borderId="1" applyAlignment="1" pivotButton="0" quotePrefix="0" xfId="0">
      <alignment horizontal="left" vertical="center" wrapText="1"/>
    </xf>
    <xf numFmtId="0" fontId="8" fillId="26" borderId="1" applyAlignment="1" pivotButton="0" quotePrefix="0" xfId="0">
      <alignment horizontal="center" vertical="center" wrapText="1"/>
    </xf>
    <xf numFmtId="0" fontId="39" fillId="27" borderId="1" applyAlignment="1" pivotButton="0" quotePrefix="0" xfId="0">
      <alignment horizontal="center" vertical="center" wrapText="1"/>
    </xf>
    <xf numFmtId="0" fontId="40" fillId="28" borderId="1" applyAlignment="1" pivotButton="0" quotePrefix="0" xfId="0">
      <alignment horizontal="center" vertical="center" wrapText="1"/>
    </xf>
    <xf numFmtId="0" fontId="10" fillId="26" borderId="1" applyAlignment="1" pivotButton="0" quotePrefix="0" xfId="0">
      <alignment horizontal="left" vertical="center" wrapText="1"/>
    </xf>
    <xf numFmtId="0" fontId="38" fillId="29" borderId="1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left" vertical="center" wrapText="1"/>
    </xf>
    <xf numFmtId="0" fontId="41" fillId="29" borderId="1" applyAlignment="1" pivotButton="0" quotePrefix="0" xfId="0">
      <alignment horizontal="left" vertical="center" wrapText="1"/>
    </xf>
    <xf numFmtId="0" fontId="37" fillId="29" borderId="1" applyAlignment="1" pivotButton="0" quotePrefix="0" xfId="0">
      <alignment horizontal="center" vertical="center" wrapText="1"/>
    </xf>
    <xf numFmtId="0" fontId="37" fillId="29" borderId="1" applyAlignment="1" pivotButton="0" quotePrefix="0" xfId="0">
      <alignment horizontal="left" vertical="center" wrapText="1"/>
    </xf>
    <xf numFmtId="0" fontId="8" fillId="29" borderId="1" applyAlignment="1" pivotButton="0" quotePrefix="0" xfId="0">
      <alignment horizontal="center" vertical="center" wrapText="1"/>
    </xf>
    <xf numFmtId="0" fontId="42" fillId="25" borderId="1" applyAlignment="1" pivotButton="0" quotePrefix="0" xfId="0">
      <alignment horizontal="center" vertical="center" wrapText="1"/>
    </xf>
    <xf numFmtId="0" fontId="10" fillId="29" borderId="1" applyAlignment="1" pivotButton="0" quotePrefix="0" xfId="0">
      <alignment horizontal="left" vertical="center" wrapText="1"/>
    </xf>
    <xf numFmtId="0" fontId="38" fillId="30" borderId="1" applyAlignment="1" pivotButton="0" quotePrefix="0" xfId="0">
      <alignment horizontal="center" vertical="center" wrapText="1"/>
    </xf>
    <xf numFmtId="0" fontId="8" fillId="30" borderId="1" applyAlignment="1" pivotButton="0" quotePrefix="0" xfId="0">
      <alignment horizontal="left" vertical="center" wrapText="1"/>
    </xf>
    <xf numFmtId="0" fontId="41" fillId="30" borderId="1" applyAlignment="1" pivotButton="0" quotePrefix="0" xfId="0">
      <alignment horizontal="left" vertical="center" wrapText="1"/>
    </xf>
    <xf numFmtId="0" fontId="37" fillId="31" borderId="1" applyAlignment="1" pivotButton="0" quotePrefix="0" xfId="0">
      <alignment horizontal="center" vertical="center" wrapText="1"/>
    </xf>
    <xf numFmtId="0" fontId="38" fillId="31" borderId="1" applyAlignment="1" pivotButton="0" quotePrefix="0" xfId="0">
      <alignment horizontal="center" vertical="center" wrapText="1"/>
    </xf>
    <xf numFmtId="0" fontId="37" fillId="31" borderId="1" applyAlignment="1" pivotButton="0" quotePrefix="0" xfId="0">
      <alignment horizontal="left" vertical="center" wrapText="1"/>
    </xf>
    <xf numFmtId="0" fontId="8" fillId="31" borderId="1" applyAlignment="1" pivotButton="0" quotePrefix="0" xfId="0">
      <alignment horizontal="center" vertical="center" wrapText="1"/>
    </xf>
    <xf numFmtId="0" fontId="10" fillId="31" borderId="1" applyAlignment="1" pivotButton="0" quotePrefix="0" xfId="0">
      <alignment horizontal="left" vertical="center" wrapText="1"/>
    </xf>
    <xf numFmtId="0" fontId="37" fillId="9" borderId="1" applyAlignment="1" pivotButton="0" quotePrefix="0" xfId="0">
      <alignment horizontal="center" vertical="center" wrapText="1"/>
    </xf>
    <xf numFmtId="0" fontId="38" fillId="9" borderId="1" applyAlignment="1" pivotButton="0" quotePrefix="0" xfId="0">
      <alignment horizontal="center" vertical="center" wrapText="1"/>
    </xf>
    <xf numFmtId="0" fontId="37" fillId="9" borderId="1" applyAlignment="1" pivotButton="0" quotePrefix="0" xfId="0">
      <alignment horizontal="left" vertical="center" wrapText="1"/>
    </xf>
    <xf numFmtId="0" fontId="29" fillId="30" borderId="1" applyAlignment="1" pivotButton="0" quotePrefix="0" xfId="0">
      <alignment horizontal="left" vertical="center" wrapText="1"/>
    </xf>
    <xf numFmtId="0" fontId="43" fillId="25" borderId="1" applyAlignment="1" pivotButton="0" quotePrefix="0" xfId="0">
      <alignment horizontal="center" vertical="center" wrapText="1"/>
    </xf>
    <xf numFmtId="0" fontId="37" fillId="5" borderId="1" applyAlignment="1" pivotButton="0" quotePrefix="0" xfId="0">
      <alignment horizontal="center" vertical="center" wrapText="1"/>
    </xf>
    <xf numFmtId="0" fontId="38" fillId="5" borderId="1" applyAlignment="1" pivotButton="0" quotePrefix="0" xfId="0">
      <alignment horizontal="center" vertical="center" wrapText="1"/>
    </xf>
    <xf numFmtId="0" fontId="37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38" fillId="32" borderId="1" applyAlignment="1" pivotButton="0" quotePrefix="0" xfId="0">
      <alignment horizontal="center" vertical="center" wrapText="1"/>
    </xf>
    <xf numFmtId="0" fontId="8" fillId="32" borderId="1" applyAlignment="1" pivotButton="0" quotePrefix="0" xfId="0">
      <alignment horizontal="left" vertical="center" wrapText="1"/>
    </xf>
    <xf numFmtId="0" fontId="7" fillId="32" borderId="1" applyAlignment="1" pivotButton="0" quotePrefix="0" xfId="0">
      <alignment horizontal="left" vertical="center" wrapText="1"/>
    </xf>
    <xf numFmtId="0" fontId="8" fillId="31" borderId="1" applyAlignment="1" pivotButton="0" quotePrefix="0" xfId="0">
      <alignment horizontal="left" vertical="center" wrapText="1"/>
    </xf>
    <xf numFmtId="0" fontId="7" fillId="31" borderId="1" applyAlignment="1" pivotButton="0" quotePrefix="0" xfId="0">
      <alignment horizontal="left" vertical="center" wrapText="1"/>
    </xf>
    <xf numFmtId="0" fontId="7" fillId="29" borderId="1" applyAlignment="1" pivotButton="0" quotePrefix="0" xfId="0">
      <alignment horizontal="left" vertical="center" wrapText="1"/>
    </xf>
    <xf numFmtId="0" fontId="38" fillId="29" borderId="1" applyAlignment="1" pivotButton="0" quotePrefix="0" xfId="0">
      <alignment horizontal="left" vertical="center" wrapText="1"/>
    </xf>
    <xf numFmtId="0" fontId="38" fillId="31" borderId="1" applyAlignment="1" pivotButton="0" quotePrefix="0" xfId="0">
      <alignment horizontal="left" vertical="center" wrapText="1"/>
    </xf>
    <xf numFmtId="0" fontId="38" fillId="9" borderId="1" applyAlignment="1" pivotButton="0" quotePrefix="0" xfId="0">
      <alignment horizontal="left" vertical="center" wrapText="1"/>
    </xf>
    <xf numFmtId="0" fontId="37" fillId="30" borderId="1" applyAlignment="1" pivotButton="0" quotePrefix="0" xfId="0">
      <alignment horizontal="left" vertical="center" wrapText="1"/>
    </xf>
    <xf numFmtId="0" fontId="8" fillId="30" borderId="1" applyAlignment="1" pivotButton="0" quotePrefix="0" xfId="0">
      <alignment horizontal="center" vertical="center" wrapText="1"/>
    </xf>
    <xf numFmtId="0" fontId="10" fillId="30" borderId="1" applyAlignment="1" pivotButton="0" quotePrefix="0" xfId="0">
      <alignment horizontal="left" vertical="center" wrapText="1"/>
    </xf>
    <xf numFmtId="0" fontId="7" fillId="28" borderId="1" applyAlignment="1" pivotButton="0" quotePrefix="0" xfId="0">
      <alignment horizontal="center" vertical="center" wrapText="1"/>
    </xf>
    <xf numFmtId="0" fontId="10" fillId="32" borderId="1" applyAlignment="1" pivotButton="0" quotePrefix="0" xfId="0">
      <alignment horizontal="left" vertical="center" wrapText="1"/>
    </xf>
    <xf numFmtId="0" fontId="12" fillId="33" borderId="0" applyAlignment="1" pivotButton="0" quotePrefix="0" xfId="0">
      <alignment horizontal="center" vertical="center"/>
    </xf>
    <xf numFmtId="0" fontId="14" fillId="33" borderId="2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2D6A4F"/>
      <rgbColor rgb="FF000080"/>
      <rgbColor rgb="FF7F6000"/>
      <rgbColor rgb="FF800080"/>
      <rgbColor rgb="FF148F77"/>
      <rgbColor rgb="FFBFBFBF"/>
      <rgbColor rgb="FF595959"/>
      <rgbColor rgb="FFE2EFDA"/>
      <rgbColor rgb="FF7B2D8B"/>
      <rgbColor rgb="FFFFF9E6"/>
      <rgbColor rgb="FFEBF3FB"/>
      <rgbColor rgb="FF660066"/>
      <rgbColor rgb="FFFCE4D6"/>
      <rgbColor rgb="FF1F618D"/>
      <rgbColor rgb="FFD9E1F2"/>
      <rgbColor rgb="FF000080"/>
      <rgbColor rgb="FFFF00FF"/>
      <rgbColor rgb="FFFFF2CC"/>
      <rgbColor rgb="FF00FFFF"/>
      <rgbColor rgb="FF800080"/>
      <rgbColor rgb="FF800000"/>
      <rgbColor rgb="FF2E75B6"/>
      <rgbColor rgb="FF0000FF"/>
      <rgbColor rgb="FF00CCFF"/>
      <rgbColor rgb="FFDAE8F7"/>
      <rgbColor rgb="FFC6EFCE"/>
      <rgbColor rgb="FFFFEB9C"/>
      <rgbColor rgb="FFD6E4F0"/>
      <rgbColor rgb="FFEAD1DC"/>
      <rgbColor rgb="FFD9EAD3"/>
      <rgbColor rgb="FFFFC7CE"/>
      <rgbColor rgb="FF4472C4"/>
      <rgbColor rgb="FFF2F2F2"/>
      <rgbColor rgb="FFD4AC0D"/>
      <rgbColor rgb="FFFFD700"/>
      <rgbColor rgb="FFFF8C00"/>
      <rgbColor rgb="FFE67E22"/>
      <rgbColor rgb="FF666666"/>
      <rgbColor rgb="FF2E5C8A"/>
      <rgbColor rgb="FF1F3864"/>
      <rgbColor rgb="FF27AE60"/>
      <rgbColor rgb="FF1A5276"/>
      <rgbColor rgb="FF375623"/>
      <rgbColor rgb="FF7F3C02"/>
      <rgbColor rgb="FF9C5700"/>
      <rgbColor rgb="FF5B2C6F"/>
      <rgbColor rgb="FF1B433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11" activeCellId="0" sqref="G11"/>
    </sheetView>
  </sheetViews>
  <sheetFormatPr baseColWidth="8" defaultColWidth="10.5703125" defaultRowHeight="15.75" zeroHeight="0" outlineLevelRow="0"/>
  <cols>
    <col width="28.29" customWidth="1" style="194" min="2" max="2"/>
    <col width="32.85" customWidth="1" style="194" min="6" max="6"/>
    <col width="71.56999999999999" customWidth="1" style="194" min="7" max="7"/>
  </cols>
  <sheetData>
    <row r="1" ht="30.75" customHeight="1" s="195">
      <c r="A1" s="196" t="inlineStr">
        <is>
          <t>Team-III 每週工作報告 | 2026 W37 ｜ Dashboard</t>
        </is>
      </c>
      <c r="B1" s="197" t="n"/>
      <c r="C1" s="197" t="n"/>
      <c r="D1" s="197" t="n"/>
      <c r="E1" s="197" t="n"/>
      <c r="F1" s="197" t="n"/>
      <c r="G1" s="198" t="n"/>
    </row>
    <row r="2" ht="30.75" customFormat="1" customHeight="1" s="199">
      <c r="A2" s="200" t="inlineStr">
        <is>
          <t>報告說明：本檔為 Anderson KM 精確度／Rerank 補登獨立版本；其他成員頁籤保留原始資料作參照。</t>
        </is>
      </c>
    </row>
    <row r="3" ht="30.75" customHeight="1" s="195">
      <c r="A3" s="201" t="inlineStr">
        <is>
          <t>#</t>
        </is>
      </c>
      <c r="B3" s="201" t="inlineStr">
        <is>
          <t>任務</t>
        </is>
      </c>
      <c r="C3" s="201" t="inlineStr">
        <is>
          <t>負責人</t>
        </is>
      </c>
      <c r="D3" s="201" t="inlineStr">
        <is>
          <t>優先</t>
        </is>
      </c>
      <c r="E3" s="201" t="inlineStr">
        <is>
          <t>進度</t>
        </is>
      </c>
      <c r="F3" s="201" t="inlineStr">
        <is>
          <t>交付至（SharePoint）</t>
        </is>
      </c>
      <c r="G3" s="201" t="inlineStr">
        <is>
          <t>備註</t>
        </is>
      </c>
    </row>
    <row r="4" ht="30.75" customHeight="1" s="195">
      <c r="A4" s="202" t="inlineStr">
        <is>
          <t>T1  Agent開發進度更新</t>
        </is>
      </c>
      <c r="B4" s="197" t="n"/>
      <c r="C4" s="197" t="n"/>
      <c r="D4" s="197" t="n"/>
      <c r="E4" s="197" t="n"/>
      <c r="F4" s="197" t="n"/>
      <c r="G4" s="198" t="n"/>
    </row>
    <row r="5" ht="30.75" customHeight="1" s="195">
      <c r="A5" s="203" t="inlineStr">
        <is>
          <t xml:space="preserve">  Anderson</t>
        </is>
      </c>
      <c r="B5" s="204" t="inlineStr">
        <is>
          <t>追蹤L3~L5各模組開發里程碑與整合進度</t>
        </is>
      </c>
      <c r="C5" s="205" t="inlineStr">
        <is>
          <t>Anderson</t>
        </is>
      </c>
      <c r="D5" s="206" t="inlineStr">
        <is>
          <t>High</t>
        </is>
      </c>
      <c r="E5" s="207">
        <f>Anderson!$G$5</f>
        <v/>
      </c>
      <c r="F5" s="208" t="inlineStr">
        <is>
          <t>驗證三部/Agent AI導入計劃_Sam</t>
        </is>
      </c>
      <c r="G5" s="208" t="inlineStr">
        <is>
          <t>每週追蹤開發里程碑</t>
        </is>
      </c>
    </row>
    <row r="6" ht="30.75" customHeight="1" s="195">
      <c r="A6" s="209" t="inlineStr">
        <is>
          <t xml:space="preserve">  Patty</t>
        </is>
      </c>
      <c r="B6" s="210" t="inlineStr">
        <is>
          <t>同步Amarisoft/Anritsu設備Agent整合進度</t>
        </is>
      </c>
      <c r="C6" s="211" t="inlineStr">
        <is>
          <t>Patty</t>
        </is>
      </c>
      <c r="D6" s="212" t="inlineStr">
        <is>
          <t>High</t>
        </is>
      </c>
      <c r="E6" s="213">
        <f>Patty!$G$5</f>
        <v/>
      </c>
      <c r="F6" s="214" t="inlineStr">
        <is>
          <t>驗證三部/Agent AI導入計劃_Sam</t>
        </is>
      </c>
      <c r="G6" s="214" t="inlineStr">
        <is>
          <t>每週追蹤開發里程碑</t>
        </is>
      </c>
    </row>
    <row r="7" ht="30.75" customHeight="1" s="195">
      <c r="A7" s="215" t="n"/>
      <c r="B7" s="215" t="n"/>
      <c r="C7" s="215" t="n"/>
      <c r="D7" s="215" t="n"/>
      <c r="E7" s="215" t="n"/>
      <c r="F7" s="215" t="n"/>
      <c r="G7" s="215" t="n"/>
    </row>
    <row r="8" ht="30.75" customHeight="1" s="195">
      <c r="A8" s="202" t="inlineStr">
        <is>
          <t>T2  POC結束後優先導入哪個Agent評估環境之討論</t>
        </is>
      </c>
      <c r="B8" s="197" t="n"/>
      <c r="C8" s="197" t="n"/>
      <c r="D8" s="197" t="n"/>
      <c r="E8" s="197" t="n"/>
      <c r="F8" s="197" t="n"/>
      <c r="G8" s="198" t="n"/>
    </row>
    <row r="9" ht="30.75" customHeight="1" s="195">
      <c r="A9" s="216" t="inlineStr">
        <is>
          <t xml:space="preserve">  Sam</t>
        </is>
      </c>
      <c r="B9" s="217" t="inlineStr">
        <is>
          <t>主持討論並確認戰略方向</t>
        </is>
      </c>
      <c r="C9" s="218" t="inlineStr">
        <is>
          <t>Sam</t>
        </is>
      </c>
      <c r="D9" s="219" t="inlineStr">
        <is>
          <t>High</t>
        </is>
      </c>
      <c r="E9" s="220">
        <f>Sam!$G$5</f>
        <v/>
      </c>
      <c r="F9" s="221" t="inlineStr">
        <is>
          <t>驗證三部/專案計畫</t>
        </is>
      </c>
      <c r="G9" s="221" t="inlineStr">
        <is>
          <t>等待POC結束後啟動</t>
        </is>
      </c>
    </row>
    <row r="10" ht="30.75" customHeight="1" s="195">
      <c r="A10" s="209" t="inlineStr">
        <is>
          <t xml:space="preserve">  Patty</t>
        </is>
      </c>
      <c r="B10" s="210" t="inlineStr">
        <is>
          <t>提供設備端視角與可行性評估</t>
        </is>
      </c>
      <c r="C10" s="211" t="inlineStr">
        <is>
          <t>Patty</t>
        </is>
      </c>
      <c r="D10" s="212" t="inlineStr">
        <is>
          <t>High</t>
        </is>
      </c>
      <c r="E10" s="213">
        <f>Patty!$G$8</f>
        <v/>
      </c>
      <c r="F10" s="214" t="inlineStr">
        <is>
          <t>驗證三部/Agent AI導入計劃_Sam</t>
        </is>
      </c>
      <c r="G10" s="214" t="inlineStr">
        <is>
          <t>等待POC結束後啟動</t>
        </is>
      </c>
    </row>
    <row r="11" ht="30.75" customHeight="1" s="195">
      <c r="A11" s="203" t="inlineStr">
        <is>
          <t xml:space="preserve">  Anderson</t>
        </is>
      </c>
      <c r="B11" s="204" t="inlineStr">
        <is>
          <t>提供系統整合視角與風險分析</t>
        </is>
      </c>
      <c r="C11" s="205" t="inlineStr">
        <is>
          <t>Anderson</t>
        </is>
      </c>
      <c r="D11" s="206" t="inlineStr">
        <is>
          <t>High</t>
        </is>
      </c>
      <c r="E11" s="207">
        <f>Anderson!$G$8</f>
        <v/>
      </c>
      <c r="F11" s="208" t="inlineStr">
        <is>
          <t>驗證三部/Agent AI導入計劃_Sam</t>
        </is>
      </c>
      <c r="G11" s="208" t="inlineStr">
        <is>
          <t>等待POC結束後啟動</t>
        </is>
      </c>
    </row>
    <row r="12" ht="30.75" customHeight="1" s="195">
      <c r="A12" s="215" t="n"/>
      <c r="B12" s="215" t="n"/>
      <c r="C12" s="215" t="n"/>
      <c r="D12" s="215" t="n"/>
      <c r="E12" s="215" t="n"/>
      <c r="F12" s="215" t="n"/>
      <c r="G12" s="215" t="n"/>
    </row>
    <row r="13" ht="30.75" customHeight="1" s="195">
      <c r="A13" s="202" t="inlineStr">
        <is>
          <t>T3  CSIT System驗證申請系統</t>
        </is>
      </c>
      <c r="B13" s="197" t="n"/>
      <c r="C13" s="197" t="n"/>
      <c r="D13" s="197" t="n"/>
      <c r="E13" s="197" t="n"/>
      <c r="F13" s="197" t="n"/>
      <c r="G13" s="198" t="n"/>
    </row>
    <row r="14" ht="30.75" customHeight="1" s="195">
      <c r="A14" s="209" t="inlineStr">
        <is>
          <t xml:space="preserve">  Patty</t>
        </is>
      </c>
      <c r="B14" s="210" t="inlineStr">
        <is>
          <t>系統設計、開發、測試與上線維運</t>
        </is>
      </c>
      <c r="C14" s="211" t="inlineStr">
        <is>
          <t>Patty</t>
        </is>
      </c>
      <c r="D14" s="222" t="inlineStr">
        <is>
          <t>Mid</t>
        </is>
      </c>
      <c r="E14" s="213">
        <f>Patty!$G$11</f>
        <v/>
      </c>
      <c r="F14" s="214" t="inlineStr">
        <is>
          <t>驗證三部/專案計畫</t>
        </is>
      </c>
      <c r="G14" s="214" t="inlineStr">
        <is>
          <t>建置與優化CSIT系統驗證申請流程</t>
        </is>
      </c>
    </row>
    <row r="15" ht="30.75" customHeight="1" s="195">
      <c r="A15" s="215" t="n"/>
      <c r="B15" s="215" t="n"/>
      <c r="C15" s="215" t="n"/>
      <c r="D15" s="215" t="n"/>
      <c r="E15" s="215" t="n"/>
      <c r="F15" s="215" t="n"/>
      <c r="G15" s="215" t="n"/>
    </row>
    <row r="16" ht="30.75" customHeight="1" s="195">
      <c r="A16" s="202" t="inlineStr">
        <is>
          <t>T4  設備預約系統</t>
        </is>
      </c>
      <c r="B16" s="197" t="n"/>
      <c r="C16" s="197" t="n"/>
      <c r="D16" s="197" t="n"/>
      <c r="E16" s="197" t="n"/>
      <c r="F16" s="197" t="n"/>
      <c r="G16" s="198" t="n"/>
    </row>
    <row r="17" ht="30.75" customHeight="1" s="195">
      <c r="A17" s="209" t="inlineStr">
        <is>
          <t xml:space="preserve">  Patty</t>
        </is>
      </c>
      <c r="B17" s="210" t="inlineStr">
        <is>
          <t>系統維運、功能改進與異常處理</t>
        </is>
      </c>
      <c r="C17" s="211" t="inlineStr">
        <is>
          <t>Patty</t>
        </is>
      </c>
      <c r="D17" s="222" t="inlineStr">
        <is>
          <t>Mid</t>
        </is>
      </c>
      <c r="E17" s="213">
        <f>Patty!$G$14</f>
        <v/>
      </c>
      <c r="F17" s="214" t="inlineStr">
        <is>
          <t>驗證三部/專案計畫</t>
        </is>
      </c>
      <c r="G17" s="214" t="inlineStr">
        <is>
          <t>設備預約系統日常維運</t>
        </is>
      </c>
    </row>
    <row r="18" ht="30.75" customHeight="1" s="195">
      <c r="A18" s="215" t="n"/>
      <c r="B18" s="215" t="n"/>
      <c r="C18" s="215" t="n"/>
      <c r="D18" s="215" t="n"/>
      <c r="E18" s="215" t="n"/>
      <c r="F18" s="215" t="n"/>
      <c r="G18" s="215" t="n"/>
    </row>
    <row r="19" ht="30.75" customHeight="1" s="195">
      <c r="A19" s="202" t="inlineStr">
        <is>
          <t>T5  KM資料庫優化</t>
        </is>
      </c>
      <c r="B19" s="197" t="n"/>
      <c r="C19" s="197" t="n"/>
      <c r="D19" s="197" t="n"/>
      <c r="E19" s="197" t="n"/>
      <c r="F19" s="197" t="n"/>
      <c r="G19" s="198" t="n"/>
    </row>
    <row r="20" ht="30.75" customHeight="1" s="195">
      <c r="A20" s="209" t="inlineStr">
        <is>
          <t xml:space="preserve">  Patty</t>
        </is>
      </c>
      <c r="B20" s="210" t="inlineStr">
        <is>
          <t>Neo4j圖譜結構與節點分類優化</t>
        </is>
      </c>
      <c r="C20" s="211" t="inlineStr">
        <is>
          <t>Patty</t>
        </is>
      </c>
      <c r="D20" s="222" t="inlineStr">
        <is>
          <t>Mid</t>
        </is>
      </c>
      <c r="E20" s="213">
        <f>Patty!$G$17</f>
        <v/>
      </c>
      <c r="F20" s="214" t="inlineStr">
        <is>
          <t>驗證三部/KM</t>
        </is>
      </c>
      <c r="G20" s="214" t="inlineStr">
        <is>
          <t>Neo4j + Qdrant 效能調校</t>
        </is>
      </c>
    </row>
    <row r="21" ht="30.75" customHeight="1" s="195">
      <c r="A21" s="203" t="inlineStr">
        <is>
          <t xml:space="preserve">  Anderson</t>
        </is>
      </c>
      <c r="B21" s="204" t="inlineStr">
        <is>
          <t>Qdrant向量索引、Rerank與檢索評分驗證</t>
        </is>
      </c>
      <c r="C21" s="205" t="inlineStr">
        <is>
          <t>Anderson</t>
        </is>
      </c>
      <c r="D21" s="223" t="inlineStr">
        <is>
          <t>Mid</t>
        </is>
      </c>
      <c r="E21" s="207" t="n">
        <v>90</v>
      </c>
      <c r="F21" s="208" t="inlineStr">
        <is>
          <t>驗證三部/KM</t>
        </is>
      </c>
      <c r="G21" s="208" t="inlineStr">
        <is>
          <t>Qwen3 active；評分可呈現；Golden qrels 尚待補齊</t>
        </is>
      </c>
    </row>
    <row r="22" ht="30.75" customHeight="1" s="195">
      <c r="A22" s="215" t="n"/>
      <c r="B22" s="215" t="n"/>
      <c r="C22" s="215" t="n"/>
      <c r="D22" s="215" t="n"/>
      <c r="E22" s="215" t="n"/>
      <c r="F22" s="215" t="n"/>
      <c r="G22" s="215" t="n"/>
    </row>
    <row r="23" ht="30.75" customHeight="1" s="195">
      <c r="A23" s="202" t="inlineStr">
        <is>
          <t>T6  LLM選型</t>
        </is>
      </c>
      <c r="B23" s="197" t="n"/>
      <c r="C23" s="197" t="n"/>
      <c r="D23" s="197" t="n"/>
      <c r="E23" s="197" t="n"/>
      <c r="F23" s="197" t="n"/>
      <c r="G23" s="198" t="n"/>
    </row>
    <row r="24" ht="30.75" customHeight="1" s="195">
      <c r="A24" s="224" t="inlineStr">
        <is>
          <t xml:space="preserve">  Jimmy</t>
        </is>
      </c>
      <c r="B24" s="225" t="inlineStr">
        <is>
          <t>評估候選模型、制定評估指標與基準測試</t>
        </is>
      </c>
      <c r="C24" s="226" t="inlineStr">
        <is>
          <t>Jimmy</t>
        </is>
      </c>
      <c r="D24" s="227" t="inlineStr">
        <is>
          <t>Mid</t>
        </is>
      </c>
      <c r="E24" s="228">
        <f>Jimmy!$G$5</f>
        <v/>
      </c>
      <c r="F24" s="229" t="inlineStr">
        <is>
          <t>驗證三部/AI訓練教材-L3</t>
        </is>
      </c>
      <c r="G24" s="229" t="inlineStr">
        <is>
          <t>評估並選定適合FDE的LLM模型</t>
        </is>
      </c>
    </row>
    <row r="25" ht="30.75" customHeight="1" s="195">
      <c r="A25" s="230" t="inlineStr">
        <is>
          <t xml:space="preserve">  Alf</t>
        </is>
      </c>
      <c r="B25" s="231" t="inlineStr">
        <is>
          <t>整合評估結果與成本效益分析</t>
        </is>
      </c>
      <c r="C25" s="232" t="inlineStr">
        <is>
          <t>Alf</t>
        </is>
      </c>
      <c r="D25" s="233" t="inlineStr">
        <is>
          <t>Mid</t>
        </is>
      </c>
      <c r="E25" s="234">
        <f>Alf!$G$5</f>
        <v/>
      </c>
      <c r="F25" s="235" t="inlineStr">
        <is>
          <t>驗證三部/AI訓練教材-L3</t>
        </is>
      </c>
      <c r="G25" s="235" t="inlineStr">
        <is>
          <t>評估並選定適合FDE的LLM模型</t>
        </is>
      </c>
    </row>
    <row r="26" ht="30.75" customHeight="1" s="195">
      <c r="A26" s="215" t="n"/>
      <c r="B26" s="215" t="n"/>
      <c r="C26" s="215" t="n"/>
      <c r="D26" s="215" t="n"/>
      <c r="E26" s="215" t="n"/>
      <c r="F26" s="215" t="n"/>
      <c r="G26" s="215" t="n"/>
    </row>
    <row r="27" ht="30.75" customHeight="1" s="195">
      <c r="A27" s="202" t="inlineStr">
        <is>
          <t>T7  評估openVitamin功能分析</t>
        </is>
      </c>
      <c r="B27" s="197" t="n"/>
      <c r="C27" s="197" t="n"/>
      <c r="D27" s="197" t="n"/>
      <c r="E27" s="197" t="n"/>
      <c r="F27" s="197" t="n"/>
      <c r="G27" s="198" t="n"/>
    </row>
    <row r="28" ht="30.75" customHeight="1" s="195">
      <c r="A28" s="230" t="inlineStr">
        <is>
          <t xml:space="preserve">  Alf</t>
        </is>
      </c>
      <c r="B28" s="231" t="inlineStr">
        <is>
          <t>工具鏈分析與整合可行性評估</t>
        </is>
      </c>
      <c r="C28" s="232" t="inlineStr">
        <is>
          <t>Alf</t>
        </is>
      </c>
      <c r="D28" s="233" t="inlineStr">
        <is>
          <t>Mid</t>
        </is>
      </c>
      <c r="E28" s="234">
        <f>Alf!$G$8</f>
        <v/>
      </c>
      <c r="F28" s="235" t="inlineStr">
        <is>
          <t>驗證三部/AI訓練教材-L3</t>
        </is>
      </c>
      <c r="G28" s="235" t="inlineStr">
        <is>
          <t>分析openVitamin工具鏈與整合可行性</t>
        </is>
      </c>
    </row>
    <row r="29" ht="30.75" customHeight="1" s="195">
      <c r="A29" s="224" t="inlineStr">
        <is>
          <t xml:space="preserve">  Jimmy</t>
        </is>
      </c>
      <c r="B29" s="225" t="inlineStr">
        <is>
          <t>技術對接與風險識別</t>
        </is>
      </c>
      <c r="C29" s="226" t="inlineStr">
        <is>
          <t>Jimmy</t>
        </is>
      </c>
      <c r="D29" s="227" t="inlineStr">
        <is>
          <t>Mid</t>
        </is>
      </c>
      <c r="E29" s="228">
        <f>Jimmy!$G$8</f>
        <v/>
      </c>
      <c r="F29" s="229" t="inlineStr">
        <is>
          <t>驗證三部/AI訓練教材-L3</t>
        </is>
      </c>
      <c r="G29" s="229" t="inlineStr">
        <is>
          <t>分析openVitamin工具鏈與整合可行性</t>
        </is>
      </c>
    </row>
    <row r="30" ht="30.75" customHeight="1" s="195">
      <c r="A30" s="215" t="n"/>
      <c r="B30" s="215" t="n"/>
      <c r="C30" s="215" t="n"/>
      <c r="D30" s="215" t="n"/>
      <c r="E30" s="215" t="n"/>
      <c r="F30" s="215" t="n"/>
      <c r="G30" s="215" t="n"/>
    </row>
    <row r="31" ht="30.75" customHeight="1" s="195">
      <c r="A31" s="202" t="inlineStr">
        <is>
          <t>T8  Sub2Api建置</t>
        </is>
      </c>
      <c r="B31" s="197" t="n"/>
      <c r="C31" s="197" t="n"/>
      <c r="D31" s="197" t="n"/>
      <c r="E31" s="197" t="n"/>
      <c r="F31" s="197" t="n"/>
      <c r="G31" s="198" t="n"/>
    </row>
    <row r="32" ht="30.75" customHeight="1" s="195">
      <c r="A32" s="230" t="inlineStr">
        <is>
          <t xml:space="preserve">  Alf</t>
        </is>
      </c>
      <c r="B32" s="231" t="inlineStr">
        <is>
          <t>API架構設計、開發與文件編寫</t>
        </is>
      </c>
      <c r="C32" s="232" t="inlineStr">
        <is>
          <t>Alf</t>
        </is>
      </c>
      <c r="D32" s="233" t="inlineStr">
        <is>
          <t>Mid</t>
        </is>
      </c>
      <c r="E32" s="234">
        <f>Alf!$G$11</f>
        <v/>
      </c>
      <c r="F32" s="235" t="inlineStr">
        <is>
          <t>驗證三部/專案計畫</t>
        </is>
      </c>
      <c r="G32" s="235" t="inlineStr">
        <is>
          <t>建立Sub2Api接口服務</t>
        </is>
      </c>
    </row>
    <row r="33" ht="30.75" customHeight="1" s="195">
      <c r="A33" s="215" t="n"/>
      <c r="B33" s="215" t="n"/>
      <c r="C33" s="215" t="n"/>
      <c r="D33" s="215" t="n"/>
      <c r="E33" s="215" t="n"/>
      <c r="F33" s="215" t="n"/>
      <c r="G33" s="215" t="n"/>
    </row>
  </sheetData>
  <mergeCells count="10">
    <mergeCell ref="A13:G13"/>
    <mergeCell ref="A1:G1"/>
    <mergeCell ref="A27:G27"/>
    <mergeCell ref="A8:G8"/>
    <mergeCell ref="A31:G31"/>
    <mergeCell ref="A4:G4"/>
    <mergeCell ref="A2:G2"/>
    <mergeCell ref="A16:G16"/>
    <mergeCell ref="A19:G19"/>
    <mergeCell ref="A23:G2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20" customWidth="1" style="194" min="1" max="1"/>
    <col width="8" customWidth="1" style="194" min="2" max="2"/>
    <col width="40" customWidth="1" style="194" min="3" max="3"/>
    <col width="14" customWidth="1" style="194" min="4" max="5"/>
    <col width="22" customWidth="1" style="194" min="6" max="6"/>
    <col width="10" customWidth="1" style="194" min="7" max="7"/>
    <col width="28" customWidth="1" style="194" min="8" max="8"/>
    <col width="35" customWidth="1" style="194" min="9" max="9"/>
    <col width="25" customWidth="1" style="194" min="10" max="10"/>
    <col width="35" customWidth="1" style="194" min="11" max="11"/>
    <col width="30" customWidth="1" style="194" min="12" max="12"/>
  </cols>
  <sheetData>
    <row r="1" ht="27.75" customHeight="1" s="195">
      <c r="A1" s="236" t="inlineStr">
        <is>
          <t>Team-III 個人週報  ｜  Patty  ｜  2026 July</t>
        </is>
      </c>
    </row>
    <row r="2" ht="60" customHeight="1" s="195">
      <c r="A2" s="237" t="inlineStr">
        <is>
          <t>▸ 請填寫「預計完成日」「實際完成日」「進度(%)」「交付路徑」，進度將連動至Dashboard
▸ T# 編號對應開發計劃分頁，請與開發計劃進度保持一致
▸ 有不在專案開發計劃的工作，請自行新增於下方額外任務區
▸ 完成後請上傳至SharePoint</t>
        </is>
      </c>
      <c r="K2" s="237" t="inlineStr">
        <is>
          <t>▸ 本週的關鍵技術判斷？為什麼這樣決定？</t>
        </is>
      </c>
      <c r="L2" s="237" t="inlineStr">
        <is>
          <t>▸ 本週否決過AI的哪個建議？為什麼？</t>
        </is>
      </c>
    </row>
    <row r="3" ht="21.75" customHeight="1" s="195">
      <c r="A3" s="238" t="inlineStr">
        <is>
          <t>任務群組</t>
        </is>
      </c>
      <c r="B3" s="238" t="inlineStr">
        <is>
          <t>T#</t>
        </is>
      </c>
      <c r="C3" s="238" t="inlineStr">
        <is>
          <t>任務</t>
        </is>
      </c>
      <c r="D3" s="238" t="inlineStr">
        <is>
          <t>預計完成日</t>
        </is>
      </c>
      <c r="E3" s="238" t="inlineStr">
        <is>
          <t>實際完成日</t>
        </is>
      </c>
      <c r="F3" s="238" t="inlineStr">
        <is>
          <t>進度狀態</t>
        </is>
      </c>
      <c r="G3" s="238" t="inlineStr">
        <is>
          <t>進度(%)</t>
        </is>
      </c>
      <c r="H3" s="238" t="inlineStr">
        <is>
          <t>交付至（SharePoint）</t>
        </is>
      </c>
      <c r="I3" s="238" t="inlineStr">
        <is>
          <t>交付路徑</t>
        </is>
      </c>
      <c r="J3" s="238" t="inlineStr">
        <is>
          <t>備註</t>
        </is>
      </c>
      <c r="K3" s="239" t="inlineStr">
        <is>
          <t>關鍵判斷</t>
        </is>
      </c>
      <c r="L3" s="239" t="inlineStr">
        <is>
          <t>否決AI記錄</t>
        </is>
      </c>
    </row>
    <row r="4" ht="18" customHeight="1" s="195">
      <c r="A4" s="240" t="inlineStr">
        <is>
          <t xml:space="preserve">  T1</t>
        </is>
      </c>
      <c r="B4" s="241" t="n"/>
      <c r="C4" s="241" t="n"/>
      <c r="D4" s="241" t="n"/>
      <c r="E4" s="241" t="n"/>
      <c r="F4" s="241" t="n"/>
      <c r="G4" s="241" t="n"/>
      <c r="H4" s="241" t="n"/>
      <c r="I4" s="241" t="n"/>
      <c r="J4" s="241" t="n"/>
    </row>
    <row r="5" ht="27.75" customHeight="1" s="195">
      <c r="A5" s="242" t="n"/>
      <c r="B5" s="243" t="inlineStr">
        <is>
          <t>T1</t>
        </is>
      </c>
      <c r="C5" s="242" t="inlineStr">
        <is>
          <t>同步Amarisoft/Anritsu設備Agent整合進度</t>
        </is>
      </c>
      <c r="D5" s="242" t="inlineStr">
        <is>
          <t>2026-08-15</t>
        </is>
      </c>
      <c r="E5" s="242" t="n"/>
      <c r="F5" s="242" t="n"/>
      <c r="G5" s="244" t="n">
        <v>60</v>
      </c>
      <c r="H5" s="242" t="inlineStr">
        <is>
          <t>驗證三部/Agent AI導入計劃_Sam</t>
        </is>
      </c>
      <c r="I5" s="242" t="n"/>
      <c r="J5" s="242" t="inlineStr">
        <is>
          <t>每週追蹤開發里程碑</t>
        </is>
      </c>
      <c r="K5" s="245" t="n"/>
      <c r="L5" s="245" t="n"/>
    </row>
    <row r="6" ht="18" customHeight="1" s="195">
      <c r="A6" s="240" t="inlineStr">
        <is>
          <t xml:space="preserve">  T1-B1</t>
        </is>
      </c>
      <c r="B6" s="241" t="n"/>
      <c r="C6" s="241" t="n"/>
      <c r="D6" s="241" t="n"/>
      <c r="E6" s="241" t="n"/>
      <c r="F6" s="241" t="n"/>
      <c r="G6" s="241" t="n"/>
      <c r="H6" s="241" t="n"/>
      <c r="I6" s="241" t="n"/>
      <c r="J6" s="241" t="n"/>
    </row>
    <row r="7" ht="27.75" customHeight="1" s="195">
      <c r="A7" s="242" t="n"/>
      <c r="B7" s="243" t="inlineStr">
        <is>
          <t>T1-B1</t>
        </is>
      </c>
      <c r="C7" s="242" t="inlineStr">
        <is>
          <t>對話流程設計（Amarisoft設備Agent）</t>
        </is>
      </c>
      <c r="D7" s="242" t="inlineStr">
        <is>
          <t>2026-08-22</t>
        </is>
      </c>
      <c r="E7" s="242" t="n"/>
      <c r="F7" s="242" t="n"/>
      <c r="G7" s="244" t="n">
        <v>0</v>
      </c>
      <c r="H7" s="242" t="inlineStr">
        <is>
          <t>驗證三部/Agent AI導入計劃_Sam</t>
        </is>
      </c>
      <c r="I7" s="242" t="n"/>
      <c r="J7" s="242" t="inlineStr">
        <is>
          <t>T1 設備整合</t>
        </is>
      </c>
      <c r="K7" s="245" t="n"/>
      <c r="L7" s="245" t="n"/>
    </row>
    <row r="8" ht="18" customHeight="1" s="195">
      <c r="A8" s="240" t="inlineStr">
        <is>
          <t xml:space="preserve">  T1-B2</t>
        </is>
      </c>
      <c r="B8" s="241" t="n"/>
      <c r="C8" s="241" t="n"/>
      <c r="D8" s="241" t="n"/>
      <c r="E8" s="241" t="n"/>
      <c r="F8" s="241" t="n"/>
      <c r="G8" s="241" t="n"/>
      <c r="H8" s="241" t="n"/>
      <c r="I8" s="241" t="n"/>
      <c r="J8" s="241" t="n"/>
    </row>
    <row r="9" ht="27.75" customHeight="1" s="195">
      <c r="A9" s="242" t="n"/>
      <c r="B9" s="243" t="inlineStr">
        <is>
          <t>T1-B2</t>
        </is>
      </c>
      <c r="C9" s="242" t="inlineStr">
        <is>
          <t>異常處理流程（Anritsu設備Agent）</t>
        </is>
      </c>
      <c r="D9" s="242" t="inlineStr">
        <is>
          <t>2026-08-25</t>
        </is>
      </c>
      <c r="E9" s="242" t="n"/>
      <c r="F9" s="242" t="n"/>
      <c r="G9" s="244" t="n">
        <v>0</v>
      </c>
      <c r="H9" s="242" t="inlineStr">
        <is>
          <t>驗證三部/Agent AI導入計劃_Sam</t>
        </is>
      </c>
      <c r="I9" s="242" t="n"/>
      <c r="J9" s="242" t="inlineStr">
        <is>
          <t>T1 設備整合</t>
        </is>
      </c>
      <c r="K9" s="245" t="n"/>
      <c r="L9" s="245" t="n"/>
    </row>
    <row r="10" ht="18" customHeight="1" s="195">
      <c r="A10" s="240" t="inlineStr">
        <is>
          <t xml:space="preserve">  T1-C1</t>
        </is>
      </c>
      <c r="B10" s="241" t="n"/>
      <c r="C10" s="241" t="n"/>
      <c r="D10" s="241" t="n"/>
      <c r="E10" s="241" t="n"/>
      <c r="F10" s="241" t="n"/>
      <c r="G10" s="241" t="n"/>
      <c r="H10" s="241" t="n"/>
      <c r="I10" s="241" t="n"/>
      <c r="J10" s="241" t="n"/>
    </row>
    <row r="11" ht="27.75" customHeight="1" s="195">
      <c r="A11" s="242" t="n"/>
      <c r="B11" s="243" t="inlineStr">
        <is>
          <t>T1-C1</t>
        </is>
      </c>
      <c r="C11" s="242" t="inlineStr">
        <is>
          <t>設備預約模組串接</t>
        </is>
      </c>
      <c r="D11" s="242" t="inlineStr">
        <is>
          <t>2026-08-28</t>
        </is>
      </c>
      <c r="E11" s="242" t="n"/>
      <c r="F11" s="242" t="n"/>
      <c r="G11" s="244" t="n">
        <v>0</v>
      </c>
      <c r="H11" s="242" t="inlineStr">
        <is>
          <t>驗證三部/Agent AI導入計劃_Sam</t>
        </is>
      </c>
      <c r="I11" s="242" t="n"/>
      <c r="J11" s="242" t="inlineStr">
        <is>
          <t>T1 設備整合</t>
        </is>
      </c>
      <c r="K11" s="245" t="n"/>
      <c r="L11" s="245" t="n"/>
    </row>
    <row r="12" ht="18" customHeight="1" s="195">
      <c r="A12" s="240" t="inlineStr">
        <is>
          <t xml:space="preserve">  T1-C2</t>
        </is>
      </c>
      <c r="B12" s="241" t="n"/>
      <c r="C12" s="241" t="n"/>
      <c r="D12" s="241" t="n"/>
      <c r="E12" s="241" t="n"/>
      <c r="F12" s="241" t="n"/>
      <c r="G12" s="241" t="n"/>
      <c r="H12" s="241" t="n"/>
      <c r="I12" s="241" t="n"/>
      <c r="J12" s="241" t="n"/>
    </row>
    <row r="13" ht="27.75" customHeight="1" s="195">
      <c r="A13" s="242" t="n"/>
      <c r="B13" s="243" t="inlineStr">
        <is>
          <t>T1-C2</t>
        </is>
      </c>
      <c r="C13" s="242" t="inlineStr">
        <is>
          <t>設備狀態查詢模組串接</t>
        </is>
      </c>
      <c r="D13" s="242" t="inlineStr">
        <is>
          <t>2026-08-30</t>
        </is>
      </c>
      <c r="E13" s="242" t="n"/>
      <c r="F13" s="242" t="n"/>
      <c r="G13" s="244" t="n">
        <v>0</v>
      </c>
      <c r="H13" s="242" t="inlineStr">
        <is>
          <t>驗證三部/Agent AI導入計劃_Sam</t>
        </is>
      </c>
      <c r="I13" s="242" t="n"/>
      <c r="J13" s="242" t="inlineStr">
        <is>
          <t>T1 設備整合</t>
        </is>
      </c>
      <c r="K13" s="245" t="n"/>
      <c r="L13" s="245" t="n"/>
    </row>
    <row r="14" ht="18" customHeight="1" s="195">
      <c r="A14" s="240" t="inlineStr">
        <is>
          <t xml:space="preserve">  T3</t>
        </is>
      </c>
      <c r="B14" s="241" t="n"/>
      <c r="C14" s="241" t="n"/>
      <c r="D14" s="241" t="n"/>
      <c r="E14" s="241" t="n"/>
      <c r="F14" s="241" t="n"/>
      <c r="G14" s="241" t="n"/>
      <c r="H14" s="241" t="n"/>
      <c r="I14" s="241" t="n"/>
      <c r="J14" s="241" t="n"/>
    </row>
    <row r="15" ht="27.75" customHeight="1" s="195">
      <c r="A15" s="242" t="n"/>
      <c r="B15" s="243" t="inlineStr">
        <is>
          <t>T3</t>
        </is>
      </c>
      <c r="C15" s="242" t="inlineStr">
        <is>
          <t>系統設計、開發、測試與上線維運</t>
        </is>
      </c>
      <c r="D15" s="242" t="inlineStr">
        <is>
          <t>2026-09-30</t>
        </is>
      </c>
      <c r="E15" s="242" t="n"/>
      <c r="F15" s="242" t="n"/>
      <c r="G15" s="244" t="n">
        <v>40</v>
      </c>
      <c r="H15" s="242" t="inlineStr">
        <is>
          <t>驗證三部/專案計畫</t>
        </is>
      </c>
      <c r="I15" s="242" t="n"/>
      <c r="J15" s="242" t="inlineStr">
        <is>
          <t>T3 CSIT System 全權負責</t>
        </is>
      </c>
      <c r="K15" s="245" t="n"/>
      <c r="L15" s="245" t="n"/>
    </row>
    <row r="16" ht="18" customHeight="1" s="195">
      <c r="A16" s="240" t="inlineStr">
        <is>
          <t xml:space="preserve">  T3-A1</t>
        </is>
      </c>
      <c r="B16" s="241" t="n"/>
      <c r="C16" s="241" t="n"/>
      <c r="D16" s="241" t="n"/>
      <c r="E16" s="241" t="n"/>
      <c r="F16" s="241" t="n"/>
      <c r="G16" s="241" t="n"/>
      <c r="H16" s="241" t="n"/>
      <c r="I16" s="241" t="n"/>
      <c r="J16" s="241" t="n"/>
    </row>
    <row r="17" ht="27.75" customHeight="1" s="195">
      <c r="A17" s="242" t="n"/>
      <c r="B17" s="243" t="inlineStr">
        <is>
          <t>T3-A1</t>
        </is>
      </c>
      <c r="C17" s="242" t="inlineStr">
        <is>
          <t>CSIT系統架構設計</t>
        </is>
      </c>
      <c r="D17" s="242" t="inlineStr">
        <is>
          <t>2026-08-25</t>
        </is>
      </c>
      <c r="E17" s="242" t="n"/>
      <c r="F17" s="242" t="n"/>
      <c r="G17" s="244" t="n">
        <v>0</v>
      </c>
      <c r="H17" s="242" t="inlineStr">
        <is>
          <t>驗證三部/專案計畫</t>
        </is>
      </c>
      <c r="I17" s="242" t="n"/>
      <c r="J17" s="242" t="inlineStr">
        <is>
          <t>T3 系統開發</t>
        </is>
      </c>
      <c r="K17" s="245" t="n"/>
      <c r="L17" s="245" t="n"/>
    </row>
    <row r="18" ht="18" customHeight="1" s="195">
      <c r="A18" s="240" t="inlineStr">
        <is>
          <t xml:space="preserve">  T3-A2</t>
        </is>
      </c>
      <c r="B18" s="241" t="n"/>
      <c r="C18" s="241" t="n"/>
      <c r="D18" s="241" t="n"/>
      <c r="E18" s="241" t="n"/>
      <c r="F18" s="241" t="n"/>
      <c r="G18" s="241" t="n"/>
      <c r="H18" s="241" t="n"/>
      <c r="I18" s="241" t="n"/>
      <c r="J18" s="241" t="n"/>
    </row>
    <row r="19" ht="27.75" customHeight="1" s="195">
      <c r="A19" s="242" t="n"/>
      <c r="B19" s="243" t="inlineStr">
        <is>
          <t>T3-A2</t>
        </is>
      </c>
      <c r="C19" s="242" t="inlineStr">
        <is>
          <t>資料庫設計</t>
        </is>
      </c>
      <c r="D19" s="242" t="inlineStr">
        <is>
          <t>2026-09-01</t>
        </is>
      </c>
      <c r="E19" s="242" t="n"/>
      <c r="F19" s="242" t="n"/>
      <c r="G19" s="244" t="n">
        <v>0</v>
      </c>
      <c r="H19" s="242" t="inlineStr">
        <is>
          <t>驗證三部/專案計畫</t>
        </is>
      </c>
      <c r="I19" s="242" t="n"/>
      <c r="J19" s="242" t="inlineStr">
        <is>
          <t>T3 系統開發</t>
        </is>
      </c>
      <c r="K19" s="245" t="n"/>
      <c r="L19" s="245" t="n"/>
    </row>
    <row r="20" ht="18" customHeight="1" s="195">
      <c r="A20" s="240" t="inlineStr">
        <is>
          <t xml:space="preserve">  T3-B1</t>
        </is>
      </c>
      <c r="B20" s="241" t="n"/>
      <c r="C20" s="241" t="n"/>
      <c r="D20" s="241" t="n"/>
      <c r="E20" s="241" t="n"/>
      <c r="F20" s="241" t="n"/>
      <c r="G20" s="241" t="n"/>
      <c r="H20" s="241" t="n"/>
      <c r="I20" s="241" t="n"/>
      <c r="J20" s="241" t="n"/>
    </row>
    <row r="21" ht="27.75" customHeight="1" s="195">
      <c r="A21" s="242" t="n"/>
      <c r="B21" s="243" t="inlineStr">
        <is>
          <t>T3-B1</t>
        </is>
      </c>
      <c r="C21" s="242" t="inlineStr">
        <is>
          <t>申請流程設計</t>
        </is>
      </c>
      <c r="D21" s="242" t="inlineStr">
        <is>
          <t>2026-09-05</t>
        </is>
      </c>
      <c r="E21" s="242" t="n"/>
      <c r="F21" s="242" t="n"/>
      <c r="G21" s="244" t="n">
        <v>0</v>
      </c>
      <c r="H21" s="242" t="inlineStr">
        <is>
          <t>驗證三部/專案計畫</t>
        </is>
      </c>
      <c r="I21" s="242" t="n"/>
      <c r="J21" s="242" t="inlineStr">
        <is>
          <t>T3 系統開發</t>
        </is>
      </c>
      <c r="K21" s="245" t="n"/>
      <c r="L21" s="245" t="n"/>
    </row>
    <row r="22" ht="18" customHeight="1" s="195">
      <c r="A22" s="240" t="inlineStr">
        <is>
          <t xml:space="preserve">  T3-B2</t>
        </is>
      </c>
      <c r="B22" s="241" t="n"/>
      <c r="C22" s="241" t="n"/>
      <c r="D22" s="241" t="n"/>
      <c r="E22" s="241" t="n"/>
      <c r="F22" s="241" t="n"/>
      <c r="G22" s="241" t="n"/>
      <c r="H22" s="241" t="n"/>
      <c r="I22" s="241" t="n"/>
      <c r="J22" s="241" t="n"/>
    </row>
    <row r="23" ht="27.75" customHeight="1" s="195">
      <c r="A23" s="242" t="n"/>
      <c r="B23" s="243" t="inlineStr">
        <is>
          <t>T3-B2</t>
        </is>
      </c>
      <c r="C23" s="242" t="inlineStr">
        <is>
          <t>審核流程設計</t>
        </is>
      </c>
      <c r="D23" s="242" t="inlineStr">
        <is>
          <t>2026-09-08</t>
        </is>
      </c>
      <c r="E23" s="242" t="n"/>
      <c r="F23" s="242" t="n"/>
      <c r="G23" s="244" t="n">
        <v>0</v>
      </c>
      <c r="H23" s="242" t="inlineStr">
        <is>
          <t>驗證三部/專案計畫</t>
        </is>
      </c>
      <c r="I23" s="242" t="n"/>
      <c r="J23" s="242" t="inlineStr">
        <is>
          <t>T3 系統開發</t>
        </is>
      </c>
      <c r="K23" s="245" t="n"/>
      <c r="L23" s="245" t="n"/>
    </row>
    <row r="24" ht="18" customHeight="1" s="195">
      <c r="A24" s="240" t="inlineStr">
        <is>
          <t xml:space="preserve">  T4</t>
        </is>
      </c>
      <c r="B24" s="241" t="n"/>
      <c r="C24" s="241" t="n"/>
      <c r="D24" s="241" t="n"/>
      <c r="E24" s="241" t="n"/>
      <c r="F24" s="241" t="n"/>
      <c r="G24" s="241" t="n"/>
      <c r="H24" s="241" t="n"/>
      <c r="I24" s="241" t="n"/>
      <c r="J24" s="241" t="n"/>
    </row>
    <row r="25" ht="27.75" customHeight="1" s="195">
      <c r="A25" s="242" t="n"/>
      <c r="B25" s="243" t="inlineStr">
        <is>
          <t>T4</t>
        </is>
      </c>
      <c r="C25" s="242" t="inlineStr">
        <is>
          <t>系統維運、功能改進與異常處理</t>
        </is>
      </c>
      <c r="D25" s="242" t="inlineStr">
        <is>
          <t>2026-12-31</t>
        </is>
      </c>
      <c r="E25" s="242" t="n"/>
      <c r="F25" s="242" t="n"/>
      <c r="G25" s="244" t="n">
        <v>50</v>
      </c>
      <c r="H25" s="242" t="inlineStr">
        <is>
          <t>驗證三部/專案計畫</t>
        </is>
      </c>
      <c r="I25" s="242" t="n"/>
      <c r="J25" s="242" t="inlineStr">
        <is>
          <t>T4 設備預約系統 全權負責</t>
        </is>
      </c>
      <c r="K25" s="245" t="n"/>
      <c r="L25" s="245" t="n"/>
    </row>
    <row r="26" ht="18" customHeight="1" s="195">
      <c r="A26" s="240" t="inlineStr">
        <is>
          <t xml:space="preserve">  T4-A1</t>
        </is>
      </c>
      <c r="B26" s="241" t="n"/>
      <c r="C26" s="241" t="n"/>
      <c r="D26" s="241" t="n"/>
      <c r="E26" s="241" t="n"/>
      <c r="F26" s="241" t="n"/>
      <c r="G26" s="241" t="n"/>
      <c r="H26" s="241" t="n"/>
      <c r="I26" s="241" t="n"/>
      <c r="J26" s="241" t="n"/>
    </row>
    <row r="27" ht="27.75" customHeight="1" s="195">
      <c r="A27" s="242" t="n"/>
      <c r="B27" s="243" t="inlineStr">
        <is>
          <t>T4-A1</t>
        </is>
      </c>
      <c r="C27" s="242" t="inlineStr">
        <is>
          <t>設備預約系統架構設計</t>
        </is>
      </c>
      <c r="D27" s="242" t="inlineStr">
        <is>
          <t>2026-08-25</t>
        </is>
      </c>
      <c r="E27" s="242" t="n"/>
      <c r="F27" s="242" t="n"/>
      <c r="G27" s="244" t="n">
        <v>0</v>
      </c>
      <c r="H27" s="242" t="inlineStr">
        <is>
          <t>驗證三部/專案計畫</t>
        </is>
      </c>
      <c r="I27" s="242" t="n"/>
      <c r="J27" s="242" t="inlineStr">
        <is>
          <t>T4 設備預約系統</t>
        </is>
      </c>
      <c r="K27" s="245" t="n"/>
      <c r="L27" s="245" t="n"/>
    </row>
    <row r="28" ht="18" customHeight="1" s="195">
      <c r="A28" s="240" t="inlineStr">
        <is>
          <t xml:space="preserve">  T5-B1</t>
        </is>
      </c>
      <c r="B28" s="241" t="n"/>
      <c r="C28" s="241" t="n"/>
      <c r="D28" s="241" t="n"/>
      <c r="E28" s="241" t="n"/>
      <c r="F28" s="241" t="n"/>
      <c r="G28" s="241" t="n"/>
      <c r="H28" s="241" t="n"/>
      <c r="I28" s="241" t="n"/>
      <c r="J28" s="241" t="n"/>
    </row>
    <row r="29" ht="27.75" customHeight="1" s="195">
      <c r="A29" s="242" t="n"/>
      <c r="B29" s="243" t="inlineStr">
        <is>
          <t>T5-B1</t>
        </is>
      </c>
      <c r="C29" s="242" t="inlineStr">
        <is>
          <t>知識入庫流程設計</t>
        </is>
      </c>
      <c r="D29" s="242" t="inlineStr">
        <is>
          <t>2026-09-05</t>
        </is>
      </c>
      <c r="E29" s="242" t="n"/>
      <c r="F29" s="242" t="n"/>
      <c r="G29" s="244" t="n">
        <v>0</v>
      </c>
      <c r="H29" s="242" t="inlineStr">
        <is>
          <t>驗證三部/KM</t>
        </is>
      </c>
      <c r="I29" s="242" t="n"/>
      <c r="J29" s="242" t="inlineStr">
        <is>
          <t>T5 KM 優化</t>
        </is>
      </c>
      <c r="K29" s="245" t="n"/>
      <c r="L29" s="245" t="n"/>
    </row>
    <row r="30" ht="18" customHeight="1" s="195">
      <c r="A30" s="240" t="inlineStr">
        <is>
          <t xml:space="preserve">  T5-K2</t>
        </is>
      </c>
      <c r="B30" s="241" t="n"/>
      <c r="C30" s="241" t="n"/>
      <c r="D30" s="241" t="n"/>
      <c r="E30" s="241" t="n"/>
      <c r="F30" s="241" t="n"/>
      <c r="G30" s="241" t="n"/>
      <c r="H30" s="241" t="n"/>
      <c r="I30" s="241" t="n"/>
      <c r="J30" s="241" t="n"/>
    </row>
    <row r="31" ht="27.75" customHeight="1" s="195">
      <c r="A31" s="242" t="n"/>
      <c r="B31" s="243" t="inlineStr">
        <is>
          <t>T5-K2</t>
        </is>
      </c>
      <c r="C31" s="242" t="inlineStr">
        <is>
          <t>專家經驗收集</t>
        </is>
      </c>
      <c r="D31" s="242" t="inlineStr">
        <is>
          <t>2026-08-22</t>
        </is>
      </c>
      <c r="E31" s="242" t="n"/>
      <c r="F31" s="242" t="n"/>
      <c r="G31" s="244" t="n">
        <v>0</v>
      </c>
      <c r="H31" s="242" t="inlineStr">
        <is>
          <t>驗證三部/KM</t>
        </is>
      </c>
      <c r="I31" s="242" t="n"/>
      <c r="J31" s="242" t="inlineStr">
        <is>
          <t>T5 KM 優化</t>
        </is>
      </c>
      <c r="K31" s="245" t="n"/>
      <c r="L31" s="245" t="n"/>
    </row>
    <row r="33" ht="18" customHeight="1" s="195">
      <c r="A33" s="246" t="inlineStr">
        <is>
          <t xml:space="preserve">  【額外任務 - 不在專案開發計劃範圍，請自行新增】</t>
        </is>
      </c>
      <c r="B33" s="247" t="n"/>
      <c r="C33" s="247" t="n"/>
      <c r="D33" s="247" t="n"/>
      <c r="E33" s="247" t="n"/>
      <c r="F33" s="247" t="n"/>
      <c r="G33" s="247" t="n"/>
      <c r="H33" s="247" t="n"/>
      <c r="I33" s="247" t="n"/>
      <c r="J33" s="248" t="n"/>
    </row>
    <row r="34" ht="21.75" customHeight="1" s="195">
      <c r="A34" s="249" t="n"/>
      <c r="B34" s="250" t="inlineStr">
        <is>
          <t>E01</t>
        </is>
      </c>
      <c r="C34" s="249" t="n"/>
      <c r="D34" s="249" t="n"/>
      <c r="E34" s="249" t="n"/>
      <c r="F34" s="249" t="n"/>
      <c r="G34" s="251" t="n">
        <v>0</v>
      </c>
      <c r="H34" s="249" t="n"/>
      <c r="I34" s="249" t="n"/>
      <c r="J34" s="249" t="n"/>
      <c r="K34" s="245" t="n"/>
      <c r="L34" s="245" t="n"/>
    </row>
    <row r="35" ht="21.75" customHeight="1" s="195">
      <c r="A35" s="249" t="n"/>
      <c r="B35" s="250" t="inlineStr">
        <is>
          <t>E02</t>
        </is>
      </c>
      <c r="C35" s="249" t="n"/>
      <c r="D35" s="249" t="n"/>
      <c r="E35" s="249" t="n"/>
      <c r="F35" s="249" t="n"/>
      <c r="G35" s="251" t="n">
        <v>0</v>
      </c>
      <c r="H35" s="249" t="n"/>
      <c r="I35" s="249" t="n"/>
      <c r="J35" s="249" t="n"/>
      <c r="K35" s="245" t="n"/>
      <c r="L35" s="245" t="n"/>
    </row>
    <row r="36" ht="21.75" customHeight="1" s="195">
      <c r="A36" s="249" t="n"/>
      <c r="B36" s="250" t="inlineStr">
        <is>
          <t>E03</t>
        </is>
      </c>
      <c r="C36" s="249" t="n"/>
      <c r="D36" s="249" t="n"/>
      <c r="E36" s="249" t="n"/>
      <c r="F36" s="249" t="n"/>
      <c r="G36" s="251" t="n">
        <v>0</v>
      </c>
      <c r="H36" s="249" t="n"/>
      <c r="I36" s="249" t="n"/>
      <c r="J36" s="249" t="n"/>
      <c r="K36" s="245" t="n"/>
      <c r="L36" s="245" t="n"/>
    </row>
    <row r="37" ht="21.75" customHeight="1" s="195">
      <c r="A37" s="249" t="n"/>
      <c r="B37" s="250" t="inlineStr">
        <is>
          <t>E04</t>
        </is>
      </c>
      <c r="C37" s="249" t="n"/>
      <c r="D37" s="249" t="n"/>
      <c r="E37" s="249" t="n"/>
      <c r="F37" s="249" t="n"/>
      <c r="G37" s="251" t="n">
        <v>0</v>
      </c>
      <c r="H37" s="249" t="n"/>
      <c r="I37" s="249" t="n"/>
      <c r="J37" s="249" t="n"/>
      <c r="K37" s="245" t="n"/>
      <c r="L37" s="245" t="n"/>
    </row>
    <row r="38" ht="21.75" customHeight="1" s="195">
      <c r="A38" s="249" t="n"/>
      <c r="B38" s="250" t="inlineStr">
        <is>
          <t>E05</t>
        </is>
      </c>
      <c r="C38" s="249" t="n"/>
      <c r="D38" s="249" t="n"/>
      <c r="E38" s="249" t="n"/>
      <c r="F38" s="249" t="n"/>
      <c r="G38" s="251" t="n">
        <v>0</v>
      </c>
      <c r="H38" s="249" t="n"/>
      <c r="I38" s="249" t="n"/>
      <c r="J38" s="249" t="n"/>
      <c r="K38" s="245" t="n"/>
      <c r="L38" s="245" t="n"/>
    </row>
    <row r="39" ht="21.75" customHeight="1" s="195">
      <c r="A39" s="249" t="n"/>
      <c r="B39" s="250" t="inlineStr">
        <is>
          <t>E06</t>
        </is>
      </c>
      <c r="C39" s="249" t="n"/>
      <c r="D39" s="249" t="n"/>
      <c r="E39" s="249" t="n"/>
      <c r="F39" s="249" t="n"/>
      <c r="G39" s="251" t="n">
        <v>0</v>
      </c>
      <c r="H39" s="249" t="n"/>
      <c r="I39" s="249" t="n"/>
      <c r="J39" s="249" t="n"/>
      <c r="K39" s="245" t="n"/>
      <c r="L39" s="245" t="n"/>
    </row>
    <row r="40" ht="21.75" customHeight="1" s="195">
      <c r="A40" s="249" t="n"/>
      <c r="B40" s="250" t="inlineStr">
        <is>
          <t>E07</t>
        </is>
      </c>
      <c r="C40" s="249" t="n"/>
      <c r="D40" s="249" t="n"/>
      <c r="E40" s="249" t="n"/>
      <c r="F40" s="249" t="n"/>
      <c r="G40" s="251" t="n">
        <v>0</v>
      </c>
      <c r="H40" s="249" t="n"/>
      <c r="I40" s="249" t="n"/>
      <c r="J40" s="249" t="n"/>
      <c r="K40" s="245" t="n"/>
      <c r="L40" s="245" t="n"/>
    </row>
    <row r="41" ht="21.75" customHeight="1" s="195">
      <c r="A41" s="249" t="n"/>
      <c r="B41" s="250" t="inlineStr">
        <is>
          <t>E08</t>
        </is>
      </c>
      <c r="C41" s="249" t="n"/>
      <c r="D41" s="249" t="n"/>
      <c r="E41" s="249" t="n"/>
      <c r="F41" s="249" t="n"/>
      <c r="G41" s="251" t="n">
        <v>0</v>
      </c>
      <c r="H41" s="249" t="n"/>
      <c r="I41" s="249" t="n"/>
      <c r="J41" s="249" t="n"/>
      <c r="K41" s="245" t="n"/>
      <c r="L41" s="245" t="n"/>
    </row>
  </sheetData>
  <mergeCells count="3">
    <mergeCell ref="A1:J1"/>
    <mergeCell ref="A33:J33"/>
    <mergeCell ref="A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12"/>
  <sheetViews>
    <sheetView showFormulas="0" showGridLines="1" showRowColHeaders="1" showZeros="1" rightToLeft="0" tabSelected="1" showOutlineSymbols="1" defaultGridColor="1" view="normal" topLeftCell="A34" colorId="64" zoomScale="100" zoomScaleNormal="100" zoomScalePageLayoutView="100" workbookViewId="0">
      <selection pane="topLeft" activeCell="C47" activeCellId="0" sqref="C47"/>
    </sheetView>
  </sheetViews>
  <sheetFormatPr baseColWidth="8" defaultColWidth="8.61328125" defaultRowHeight="15.75" zeroHeight="0" outlineLevelRow="0"/>
  <cols>
    <col width="20" customWidth="1" style="194" min="1" max="1"/>
    <col width="8" customWidth="1" style="194" min="2" max="2"/>
    <col width="40" customWidth="1" style="194" min="3" max="3"/>
    <col width="14" customWidth="1" style="194" min="4" max="5"/>
    <col width="22" customWidth="1" style="194" min="6" max="6"/>
    <col width="10" customWidth="1" style="194" min="7" max="7"/>
    <col width="28" customWidth="1" style="194" min="8" max="8"/>
    <col width="35" customWidth="1" style="194" min="9" max="9"/>
    <col width="25" customWidth="1" style="194" min="10" max="10"/>
    <col width="35" customWidth="1" style="194" min="11" max="11"/>
    <col width="30" customWidth="1" style="194" min="12" max="12"/>
  </cols>
  <sheetData>
    <row r="1" ht="27.75" customHeight="1" s="195">
      <c r="A1" s="236" t="inlineStr">
        <is>
          <t>Team-III 個人週報 ｜ Anderson ｜ 2026 W37（KM 精確度／Rerank 補登）</t>
        </is>
      </c>
    </row>
    <row r="2" ht="66" customHeight="1" s="195">
      <c r="A2" s="237" t="inlineStr">
        <is>
          <t>本份僅記錄 KM 文件精確度評分、Rerank、lifecycle hard filter 與 fallback 驗證；CSIT 工作另列 W38。</t>
        </is>
      </c>
      <c r="K2" s="237" t="inlineStr">
        <is>
          <t>▸ 本週的關鍵技術判斷？為什麼這樣決定？</t>
        </is>
      </c>
      <c r="L2" s="237" t="inlineStr">
        <is>
          <t>▸ 本週否決過AI的哪個建議？為什麼？</t>
        </is>
      </c>
    </row>
    <row r="3" ht="21.75" customHeight="1" s="195">
      <c r="A3" s="238" t="inlineStr">
        <is>
          <t>任務群組</t>
        </is>
      </c>
      <c r="B3" s="238" t="inlineStr">
        <is>
          <t>T#</t>
        </is>
      </c>
      <c r="C3" s="238" t="inlineStr">
        <is>
          <t>任務</t>
        </is>
      </c>
      <c r="D3" s="238" t="inlineStr">
        <is>
          <t>預計完成日</t>
        </is>
      </c>
      <c r="E3" s="238" t="inlineStr">
        <is>
          <t>實際完成日</t>
        </is>
      </c>
      <c r="F3" s="238" t="inlineStr">
        <is>
          <t>進度狀態</t>
        </is>
      </c>
      <c r="G3" s="238" t="inlineStr">
        <is>
          <t>進度(%)</t>
        </is>
      </c>
      <c r="H3" s="238" t="inlineStr">
        <is>
          <t>交付至（SharePoint）</t>
        </is>
      </c>
      <c r="I3" s="238" t="inlineStr">
        <is>
          <t>交付路徑</t>
        </is>
      </c>
      <c r="J3" s="238" t="inlineStr">
        <is>
          <t>備註</t>
        </is>
      </c>
      <c r="K3" s="239" t="inlineStr">
        <is>
          <t>關鍵判斷</t>
        </is>
      </c>
      <c r="L3" s="239" t="inlineStr">
        <is>
          <t>否決AI記錄</t>
        </is>
      </c>
    </row>
    <row r="4" ht="24.75" customHeight="1" s="195">
      <c r="A4" s="240" t="inlineStr">
        <is>
          <t xml:space="preserve">  W37 補登｜KM 搜尋精確度與 Rerank</t>
        </is>
      </c>
      <c r="B4" s="241" t="n"/>
      <c r="C4" s="241" t="n"/>
      <c r="D4" s="241" t="n"/>
      <c r="E4" s="241" t="n"/>
      <c r="F4" s="241" t="n"/>
      <c r="G4" s="241" t="n"/>
      <c r="H4" s="241" t="n"/>
      <c r="I4" s="241" t="n"/>
      <c r="J4" s="241" t="n"/>
    </row>
    <row r="5" ht="96" customHeight="1" s="195">
      <c r="A5" s="245" t="inlineStr">
        <is>
          <t xml:space="preserve">  KM整合工作</t>
        </is>
      </c>
      <c r="B5" s="252" t="inlineStr">
        <is>
          <t>KM-W37-01</t>
        </is>
      </c>
      <c r="C5" s="245" t="inlineStr">
        <is>
          <t>文件精確度評分與離線 evaluator</t>
        </is>
      </c>
      <c r="D5" s="253" t="inlineStr">
        <is>
          <t>2026 Q4</t>
        </is>
      </c>
      <c r="E5" s="253" t="inlineStr"/>
      <c r="F5" s="254" t="inlineStr">
        <is>
          <t>已完成第一版／Golden qrels 待補</t>
        </is>
      </c>
      <c r="G5" s="254" t="n">
        <v>85</v>
      </c>
      <c r="H5" s="245" t="inlineStr">
        <is>
          <t>驗證三部/KM</t>
        </is>
      </c>
      <c r="I5" s="245" t="inlineStr">
        <is>
          <t>score breakdown、Recall/Precision/MRR/nDCG 設計</t>
        </is>
      </c>
      <c r="J5" s="245" t="inlineStr">
        <is>
          <t>分數是排序／品質訊號，不宣稱答案正確率</t>
        </is>
      </c>
      <c r="K5" s="245" t="inlineStr">
        <is>
          <t>不以單一分數取代多項指標</t>
        </is>
      </c>
      <c r="L5" s="245" t="n"/>
    </row>
    <row r="6" ht="24.75" customHeight="1" s="195">
      <c r="A6" s="245" t="n"/>
      <c r="B6" s="252" t="n"/>
      <c r="C6" s="245" t="n"/>
      <c r="D6" s="253" t="n"/>
      <c r="E6" s="253" t="n"/>
      <c r="F6" s="254" t="n"/>
      <c r="G6" s="254" t="n"/>
      <c r="H6" s="245" t="n"/>
      <c r="I6" s="245" t="n"/>
      <c r="J6" s="245" t="n"/>
      <c r="K6" s="245" t="n"/>
      <c r="L6" s="245" t="n"/>
    </row>
    <row r="7" ht="96" customHeight="1" s="195">
      <c r="A7" s="245" t="inlineStr">
        <is>
          <t xml:space="preserve">  KM整合工作</t>
        </is>
      </c>
      <c r="B7" s="252" t="inlineStr">
        <is>
          <t>KM-W37-02</t>
        </is>
      </c>
      <c r="C7" s="245" t="inlineStr">
        <is>
          <t>Qwen3-Reranker-0.6B 整合與 fallback</t>
        </is>
      </c>
      <c r="D7" s="253" t="inlineStr">
        <is>
          <t>2026 Q4</t>
        </is>
      </c>
      <c r="E7" s="253" t="inlineStr"/>
      <c r="F7" s="254" t="inlineStr">
        <is>
          <t>RUNTIME_VALIDATED</t>
        </is>
      </c>
      <c r="G7" s="254" t="n">
        <v>90</v>
      </c>
      <c r="H7" s="245" t="inlineStr">
        <is>
          <t>驗證三部/KM</t>
        </is>
      </c>
      <c r="I7" s="245" t="inlineStr">
        <is>
          <t>PR #57；Qwen3 model identity；active search task</t>
        </is>
      </c>
      <c r="J7" s="245" t="inlineStr">
        <is>
          <t>hard filter → rerank；異常回退 baseline</t>
        </is>
      </c>
      <c r="K7" s="245" t="inlineStr">
        <is>
          <t>不以模型可載入取代搜尋成效驗收</t>
        </is>
      </c>
      <c r="L7" s="245" t="n"/>
    </row>
    <row r="8" ht="24.75" customHeight="1" s="195">
      <c r="A8" s="245" t="n"/>
      <c r="B8" s="252" t="n"/>
      <c r="C8" s="245" t="n"/>
      <c r="D8" s="253" t="n"/>
      <c r="E8" s="253" t="n"/>
      <c r="F8" s="254" t="n"/>
      <c r="G8" s="254" t="n"/>
      <c r="H8" s="245" t="n"/>
      <c r="I8" s="245" t="n"/>
      <c r="J8" s="245" t="n"/>
      <c r="K8" s="245" t="n"/>
      <c r="L8" s="245" t="n"/>
    </row>
    <row r="9" ht="96" customHeight="1" s="195">
      <c r="A9" s="245" t="inlineStr">
        <is>
          <t xml:space="preserve">  KM整合工作</t>
        </is>
      </c>
      <c r="B9" s="252" t="inlineStr">
        <is>
          <t>KM-W37-03</t>
        </is>
      </c>
      <c r="C9" s="245" t="inlineStr">
        <is>
          <t>真實搜尋來源卡評分呈現</t>
        </is>
      </c>
      <c r="D9" s="253" t="inlineStr">
        <is>
          <t>2026 Q4</t>
        </is>
      </c>
      <c r="E9" s="253" t="inlineStr"/>
      <c r="F9" s="254" t="inlineStr">
        <is>
          <t>USER_VISIBLE_VALIDATED</t>
        </is>
      </c>
      <c r="G9" s="254" t="n">
        <v>90</v>
      </c>
      <c r="H9" s="245" t="inlineStr">
        <is>
          <t>驗證三部/KM</t>
        </is>
      </c>
      <c r="I9" s="245" t="inlineStr">
        <is>
          <t>chat.html／Vue score markers</t>
        </is>
      </c>
      <c r="J9" s="245" t="inlineStr">
        <is>
          <t>評分與 citation/source 綁定呈現</t>
        </is>
      </c>
      <c r="K9" s="245" t="inlineStr">
        <is>
          <t>不新增無來源答案正確率</t>
        </is>
      </c>
      <c r="L9" s="245" t="n"/>
    </row>
    <row r="10" ht="24.75" customHeight="1" s="195">
      <c r="A10" s="245" t="n"/>
      <c r="B10" s="252" t="n"/>
      <c r="C10" s="245" t="n"/>
      <c r="D10" s="253" t="n"/>
      <c r="E10" s="253" t="n"/>
      <c r="F10" s="254" t="n"/>
      <c r="G10" s="254" t="n"/>
      <c r="H10" s="245" t="n"/>
      <c r="I10" s="245" t="n"/>
      <c r="J10" s="245" t="n"/>
      <c r="K10" s="245" t="n"/>
      <c r="L10" s="245" t="n"/>
    </row>
    <row r="11" ht="96" customHeight="1" s="195">
      <c r="A11" s="245" t="inlineStr">
        <is>
          <t xml:space="preserve">  KM整合工作</t>
        </is>
      </c>
      <c r="B11" s="252" t="inlineStr">
        <is>
          <t>KM-W37-04</t>
        </is>
      </c>
      <c r="C11" s="245" t="inlineStr">
        <is>
          <t>Lifecycle hard filter 與受控 reindex</t>
        </is>
      </c>
      <c r="D11" s="253" t="inlineStr">
        <is>
          <t>2026 Q4</t>
        </is>
      </c>
      <c r="E11" s="253" t="inlineStr"/>
      <c r="F11" s="254" t="inlineStr">
        <is>
          <t>RUNTIME_VALIDATED</t>
        </is>
      </c>
      <c r="G11" s="254" t="n">
        <v>100</v>
      </c>
      <c r="H11" s="245" t="inlineStr">
        <is>
          <t>驗證三部/KM</t>
        </is>
      </c>
      <c r="I11" s="245" t="inlineStr">
        <is>
          <t>4,001 points；mismatch=0</t>
        </is>
      </c>
      <c r="J11" s="245" t="inlineStr">
        <is>
          <t>Draft／非 current 不進 rerank</t>
        </is>
      </c>
      <c r="K11" s="245" t="inlineStr">
        <is>
          <t>不讓分數抵銷 ACL/lifecycle</t>
        </is>
      </c>
      <c r="L11" s="245" t="n"/>
    </row>
    <row r="12" ht="24.75" customHeight="1" s="195">
      <c r="A12" s="245" t="n"/>
      <c r="B12" s="252" t="n"/>
      <c r="C12" s="245" t="n"/>
      <c r="D12" s="253" t="n"/>
      <c r="E12" s="253" t="n"/>
      <c r="F12" s="254" t="n"/>
      <c r="G12" s="254" t="n"/>
      <c r="H12" s="245" t="n"/>
      <c r="I12" s="245" t="n"/>
      <c r="J12" s="245" t="n"/>
      <c r="K12" s="245" t="n"/>
      <c r="L12" s="245" t="n"/>
    </row>
    <row r="13" ht="96" customHeight="1" s="195"/>
    <row r="14" ht="24.75" customHeight="1" s="195"/>
    <row r="15" ht="85.5" customHeight="1" s="195"/>
    <row r="16" ht="24.75" customHeight="1" s="195"/>
    <row r="17" ht="96" customHeight="1" s="195"/>
    <row r="18" ht="24.75" customHeight="1" s="195"/>
    <row r="19" ht="96" customHeight="1" s="195"/>
    <row r="20" ht="24.75" customHeight="1" s="195"/>
    <row r="21" ht="96" customHeight="1" s="195"/>
    <row r="22" ht="24.75" customHeight="1" s="195"/>
    <row r="23" ht="96" customHeight="1" s="195"/>
    <row r="24" ht="24.75" customHeight="1" s="195"/>
    <row r="25" ht="85.5" customHeight="1" s="195"/>
    <row r="26" ht="96" customHeight="1" s="195"/>
    <row r="27" ht="18" customHeight="1" s="195"/>
    <row r="28" ht="21.75" customHeight="1" s="195"/>
    <row r="29" ht="21.75" customHeight="1" s="195"/>
    <row r="30" ht="21.75" customHeight="1" s="195"/>
    <row r="31" ht="21.75" customHeight="1" s="195"/>
    <row r="32" ht="21.75" customHeight="1" s="195"/>
    <row r="33" ht="21.75" customHeight="1" s="195"/>
    <row r="34" ht="21.75" customHeight="1" s="195"/>
    <row r="35" ht="21.75" customHeight="1" s="195"/>
    <row r="1048571" ht="12.8" customHeight="1" s="195"/>
    <row r="1048572" ht="12.8" customHeight="1" s="195"/>
    <row r="1048573" ht="12.8" customHeight="1" s="195"/>
    <row r="1048574" ht="12.8" customHeight="1" s="195"/>
    <row r="1048575" ht="12.8" customHeight="1" s="195"/>
    <row r="1048576" ht="12.8" customHeight="1" s="195"/>
  </sheetData>
  <mergeCells count="3">
    <mergeCell ref="A1:J1"/>
    <mergeCell ref="A27:J27"/>
    <mergeCell ref="A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20" customWidth="1" style="194" min="1" max="1"/>
    <col width="8" customWidth="1" style="194" min="2" max="2"/>
    <col width="40" customWidth="1" style="194" min="3" max="3"/>
    <col width="14" customWidth="1" style="194" min="4" max="5"/>
    <col width="22" customWidth="1" style="194" min="6" max="6"/>
    <col width="10" customWidth="1" style="194" min="7" max="7"/>
    <col width="28" customWidth="1" style="194" min="8" max="8"/>
    <col width="35" customWidth="1" style="194" min="9" max="9"/>
    <col width="25" customWidth="1" style="194" min="10" max="10"/>
    <col width="35" customWidth="1" style="194" min="11" max="11"/>
    <col width="30" customWidth="1" style="194" min="12" max="12"/>
  </cols>
  <sheetData>
    <row r="1" ht="27.75" customHeight="1" s="195">
      <c r="A1" s="236" t="inlineStr">
        <is>
          <t>Team-III 個人週報  ｜  Jimmy  ｜  2026 July</t>
        </is>
      </c>
    </row>
    <row r="2" ht="60" customHeight="1" s="195">
      <c r="A2" s="237" t="inlineStr">
        <is>
          <t>▸ 請填寫「預計完成日」「實際完成日」「進度(%)」「交付路徑」，進度將連動至Dashboard
▸ T# 編號對應開發計劃分頁，請與開發計劃進度保持一致
▸ 有不在專案開發計劃的工作，請自行新增於下方額外任務區
▸ 完成後請上傳至SharePoint</t>
        </is>
      </c>
      <c r="K2" s="237" t="inlineStr">
        <is>
          <t>▸ 本週的關鍵技術判斷？為什麼這樣決定？</t>
        </is>
      </c>
      <c r="L2" s="237" t="inlineStr">
        <is>
          <t>▸ 本週否決過AI的哪個建議？為什麼？</t>
        </is>
      </c>
    </row>
    <row r="3" ht="21.75" customHeight="1" s="195">
      <c r="A3" s="238" t="inlineStr">
        <is>
          <t>任務群組</t>
        </is>
      </c>
      <c r="B3" s="238" t="inlineStr">
        <is>
          <t>T#</t>
        </is>
      </c>
      <c r="C3" s="238" t="inlineStr">
        <is>
          <t>任務</t>
        </is>
      </c>
      <c r="D3" s="238" t="inlineStr">
        <is>
          <t>預計完成日</t>
        </is>
      </c>
      <c r="E3" s="238" t="inlineStr">
        <is>
          <t>實際完成日</t>
        </is>
      </c>
      <c r="F3" s="238" t="inlineStr">
        <is>
          <t>進度狀態</t>
        </is>
      </c>
      <c r="G3" s="238" t="inlineStr">
        <is>
          <t>進度(%)</t>
        </is>
      </c>
      <c r="H3" s="238" t="inlineStr">
        <is>
          <t>交付至（SharePoint）</t>
        </is>
      </c>
      <c r="I3" s="238" t="inlineStr">
        <is>
          <t>交付路徑</t>
        </is>
      </c>
      <c r="J3" s="238" t="inlineStr">
        <is>
          <t>備註</t>
        </is>
      </c>
      <c r="K3" s="239" t="inlineStr">
        <is>
          <t>關鍵判斷</t>
        </is>
      </c>
      <c r="L3" s="239" t="inlineStr">
        <is>
          <t>否決AI記錄</t>
        </is>
      </c>
    </row>
    <row r="4" ht="18" customHeight="1" s="195">
      <c r="A4" s="240" t="inlineStr">
        <is>
          <t xml:space="preserve">  T6</t>
        </is>
      </c>
      <c r="B4" s="241" t="n"/>
      <c r="C4" s="241" t="n"/>
      <c r="D4" s="241" t="n"/>
      <c r="E4" s="241" t="n"/>
      <c r="F4" s="241" t="n"/>
      <c r="G4" s="241" t="n"/>
      <c r="H4" s="241" t="n"/>
      <c r="I4" s="241" t="n"/>
      <c r="J4" s="241" t="n"/>
    </row>
    <row r="5" ht="27.75" customHeight="1" s="195">
      <c r="A5" s="242" t="n"/>
      <c r="B5" s="243" t="inlineStr">
        <is>
          <t>T6</t>
        </is>
      </c>
      <c r="C5" s="242" t="inlineStr">
        <is>
          <t>評估候選模型、制定評估指標與基準測試</t>
        </is>
      </c>
      <c r="D5" s="242" t="inlineStr">
        <is>
          <t>2026-08-31</t>
        </is>
      </c>
      <c r="E5" s="242" t="n"/>
      <c r="F5" s="242" t="n"/>
      <c r="G5" s="244" t="n">
        <v>30</v>
      </c>
      <c r="H5" s="242" t="inlineStr">
        <is>
          <t>驗證三部/AI訓練教材-L3</t>
        </is>
      </c>
      <c r="I5" s="242" t="n"/>
      <c r="J5" s="242" t="inlineStr">
        <is>
          <t>T6 LLM選型</t>
        </is>
      </c>
      <c r="K5" s="245" t="n"/>
      <c r="L5" s="245" t="n"/>
    </row>
    <row r="6" ht="18" customHeight="1" s="195">
      <c r="A6" s="240" t="inlineStr">
        <is>
          <t xml:space="preserve">  T6-A1</t>
        </is>
      </c>
      <c r="B6" s="241" t="n"/>
      <c r="C6" s="241" t="n"/>
      <c r="D6" s="241" t="n"/>
      <c r="E6" s="241" t="n"/>
      <c r="F6" s="241" t="n"/>
      <c r="G6" s="241" t="n"/>
      <c r="H6" s="241" t="n"/>
      <c r="I6" s="241" t="n"/>
      <c r="J6" s="241" t="n"/>
    </row>
    <row r="7" ht="27.75" customHeight="1" s="195">
      <c r="A7" s="242" t="n"/>
      <c r="B7" s="243" t="inlineStr">
        <is>
          <t>T6-A1</t>
        </is>
      </c>
      <c r="C7" s="242" t="inlineStr">
        <is>
          <t>LLM評估架構設計</t>
        </is>
      </c>
      <c r="D7" s="242" t="inlineStr">
        <is>
          <t>2026-08-20</t>
        </is>
      </c>
      <c r="E7" s="242" t="n"/>
      <c r="F7" s="242" t="n"/>
      <c r="G7" s="244" t="n">
        <v>0</v>
      </c>
      <c r="H7" s="242" t="inlineStr">
        <is>
          <t>驗證三部/AI訓練教材-L3</t>
        </is>
      </c>
      <c r="I7" s="242" t="n"/>
      <c r="J7" s="242" t="inlineStr">
        <is>
          <t>T6 LLM選型</t>
        </is>
      </c>
      <c r="K7" s="245" t="n"/>
      <c r="L7" s="245" t="n"/>
    </row>
    <row r="8" ht="18" customHeight="1" s="195">
      <c r="A8" s="240" t="inlineStr">
        <is>
          <t xml:space="preserve">  T6-B1</t>
        </is>
      </c>
      <c r="B8" s="241" t="n"/>
      <c r="C8" s="241" t="n"/>
      <c r="D8" s="241" t="n"/>
      <c r="E8" s="241" t="n"/>
      <c r="F8" s="241" t="n"/>
      <c r="G8" s="241" t="n"/>
      <c r="H8" s="241" t="n"/>
      <c r="I8" s="241" t="n"/>
      <c r="J8" s="241" t="n"/>
    </row>
    <row r="9" ht="27.75" customHeight="1" s="195">
      <c r="A9" s="242" t="n"/>
      <c r="B9" s="243" t="inlineStr">
        <is>
          <t>T6-B1</t>
        </is>
      </c>
      <c r="C9" s="242" t="inlineStr">
        <is>
          <t>評估流程設計</t>
        </is>
      </c>
      <c r="D9" s="242" t="inlineStr">
        <is>
          <t>2026-08-25</t>
        </is>
      </c>
      <c r="E9" s="242" t="n"/>
      <c r="F9" s="242" t="n"/>
      <c r="G9" s="244" t="n">
        <v>0</v>
      </c>
      <c r="H9" s="242" t="inlineStr">
        <is>
          <t>驗證三部/AI訓練教材-L3</t>
        </is>
      </c>
      <c r="I9" s="242" t="n"/>
      <c r="J9" s="242" t="inlineStr">
        <is>
          <t>T6 LLM選型</t>
        </is>
      </c>
      <c r="K9" s="245" t="n"/>
      <c r="L9" s="245" t="n"/>
    </row>
    <row r="10" ht="18" customHeight="1" s="195">
      <c r="A10" s="240" t="inlineStr">
        <is>
          <t xml:space="preserve">  T6-K1</t>
        </is>
      </c>
      <c r="B10" s="241" t="n"/>
      <c r="C10" s="241" t="n"/>
      <c r="D10" s="241" t="n"/>
      <c r="E10" s="241" t="n"/>
      <c r="F10" s="241" t="n"/>
      <c r="G10" s="241" t="n"/>
      <c r="H10" s="241" t="n"/>
      <c r="I10" s="241" t="n"/>
      <c r="J10" s="241" t="n"/>
    </row>
    <row r="11" ht="27.75" customHeight="1" s="195">
      <c r="A11" s="242" t="n"/>
      <c r="B11" s="243" t="inlineStr">
        <is>
          <t>T6-K1</t>
        </is>
      </c>
      <c r="C11" s="242" t="inlineStr">
        <is>
          <t>評估指標訪談（設備/測試團隊）</t>
        </is>
      </c>
      <c r="D11" s="242" t="inlineStr">
        <is>
          <t>2026-08-15</t>
        </is>
      </c>
      <c r="E11" s="242" t="n"/>
      <c r="F11" s="242" t="n"/>
      <c r="G11" s="244" t="n">
        <v>0</v>
      </c>
      <c r="H11" s="242" t="inlineStr">
        <is>
          <t>驗證三部/AI訓練教材-L3</t>
        </is>
      </c>
      <c r="I11" s="242" t="n"/>
      <c r="J11" s="242" t="inlineStr">
        <is>
          <t>T6 LLM選型</t>
        </is>
      </c>
      <c r="K11" s="245" t="n"/>
      <c r="L11" s="245" t="n"/>
    </row>
    <row r="12" ht="18" customHeight="1" s="195">
      <c r="A12" s="240" t="inlineStr">
        <is>
          <t xml:space="preserve">  T6-K3</t>
        </is>
      </c>
      <c r="B12" s="241" t="n"/>
      <c r="C12" s="241" t="n"/>
      <c r="D12" s="241" t="n"/>
      <c r="E12" s="241" t="n"/>
      <c r="F12" s="241" t="n"/>
      <c r="G12" s="241" t="n"/>
      <c r="H12" s="241" t="n"/>
      <c r="I12" s="241" t="n"/>
      <c r="J12" s="241" t="n"/>
    </row>
    <row r="13" ht="27.75" customHeight="1" s="195">
      <c r="A13" s="242" t="n"/>
      <c r="B13" s="243" t="inlineStr">
        <is>
          <t>T6-K3</t>
        </is>
      </c>
      <c r="C13" s="242" t="inlineStr">
        <is>
          <t>使用情境訪談</t>
        </is>
      </c>
      <c r="D13" s="242" t="inlineStr">
        <is>
          <t>2026-08-25</t>
        </is>
      </c>
      <c r="E13" s="242" t="n"/>
      <c r="F13" s="242" t="n"/>
      <c r="G13" s="244" t="n">
        <v>0</v>
      </c>
      <c r="H13" s="242" t="inlineStr">
        <is>
          <t>驗證三部/AI訓練教材-L3</t>
        </is>
      </c>
      <c r="I13" s="242" t="n"/>
      <c r="J13" s="242" t="inlineStr">
        <is>
          <t>T6 LLM選型</t>
        </is>
      </c>
      <c r="K13" s="245" t="n"/>
      <c r="L13" s="245" t="n"/>
    </row>
    <row r="14" ht="18" customHeight="1" s="195">
      <c r="A14" s="240" t="inlineStr">
        <is>
          <t xml:space="preserve">  T7</t>
        </is>
      </c>
      <c r="B14" s="241" t="n"/>
      <c r="C14" s="241" t="n"/>
      <c r="D14" s="241" t="n"/>
      <c r="E14" s="241" t="n"/>
      <c r="F14" s="241" t="n"/>
      <c r="G14" s="241" t="n"/>
      <c r="H14" s="241" t="n"/>
      <c r="I14" s="241" t="n"/>
      <c r="J14" s="241" t="n"/>
    </row>
    <row r="15" ht="27.75" customHeight="1" s="195">
      <c r="A15" s="242" t="n"/>
      <c r="B15" s="243" t="inlineStr">
        <is>
          <t>T7</t>
        </is>
      </c>
      <c r="C15" s="242" t="inlineStr">
        <is>
          <t>技術對接與風險識別（OpenVitamin）</t>
        </is>
      </c>
      <c r="D15" s="242" t="inlineStr">
        <is>
          <t>2026-08-31</t>
        </is>
      </c>
      <c r="E15" s="242" t="n"/>
      <c r="F15" s="242" t="n"/>
      <c r="G15" s="244" t="n">
        <v>30</v>
      </c>
      <c r="H15" s="242" t="inlineStr">
        <is>
          <t>驗證三部/AI訓練教材-L3</t>
        </is>
      </c>
      <c r="I15" s="242" t="n"/>
      <c r="J15" s="242" t="inlineStr">
        <is>
          <t>T7 OpenVitamin 評估</t>
        </is>
      </c>
      <c r="K15" s="245" t="n"/>
      <c r="L15" s="245" t="n"/>
    </row>
    <row r="16" ht="18" customHeight="1" s="195">
      <c r="A16" s="240" t="inlineStr">
        <is>
          <t xml:space="preserve">  T7-06</t>
        </is>
      </c>
      <c r="B16" s="241" t="n"/>
      <c r="C16" s="241" t="n"/>
      <c r="D16" s="241" t="n"/>
      <c r="E16" s="241" t="n"/>
      <c r="F16" s="241" t="n"/>
      <c r="G16" s="241" t="n"/>
      <c r="H16" s="241" t="n"/>
      <c r="I16" s="241" t="n"/>
      <c r="J16" s="241" t="n"/>
    </row>
    <row r="17" ht="27.75" customHeight="1" s="195">
      <c r="A17" s="242" t="n"/>
      <c r="B17" s="243" t="inlineStr">
        <is>
          <t>T7-06</t>
        </is>
      </c>
      <c r="C17" s="242" t="inlineStr">
        <is>
          <t>與內部系統整合架構規劃</t>
        </is>
      </c>
      <c r="D17" s="242" t="inlineStr">
        <is>
          <t>2026-08-15</t>
        </is>
      </c>
      <c r="E17" s="242" t="n"/>
      <c r="F17" s="242" t="n"/>
      <c r="G17" s="244" t="n">
        <v>50</v>
      </c>
      <c r="H17" s="242" t="inlineStr">
        <is>
          <t>驗證三部/AI訓練教材-L3</t>
        </is>
      </c>
      <c r="I17" s="242" t="n"/>
      <c r="J17" s="242" t="inlineStr">
        <is>
          <t>T7 技術評估</t>
        </is>
      </c>
      <c r="K17" s="245" t="n"/>
      <c r="L17" s="245" t="n"/>
    </row>
    <row r="18" ht="18" customHeight="1" s="195">
      <c r="A18" s="240" t="inlineStr">
        <is>
          <t xml:space="preserve">  T7-07</t>
        </is>
      </c>
      <c r="B18" s="241" t="n"/>
      <c r="C18" s="241" t="n"/>
      <c r="D18" s="241" t="n"/>
      <c r="E18" s="241" t="n"/>
      <c r="F18" s="241" t="n"/>
      <c r="G18" s="241" t="n"/>
      <c r="H18" s="241" t="n"/>
      <c r="I18" s="241" t="n"/>
      <c r="J18" s="241" t="n"/>
    </row>
    <row r="19" ht="27.75" customHeight="1" s="195">
      <c r="A19" s="242" t="n"/>
      <c r="B19" s="243" t="inlineStr">
        <is>
          <t>T7-07</t>
        </is>
      </c>
      <c r="C19" s="242" t="inlineStr">
        <is>
          <t>五大應用場景流程設計</t>
        </is>
      </c>
      <c r="D19" s="242" t="inlineStr">
        <is>
          <t>2026-08-15</t>
        </is>
      </c>
      <c r="E19" s="242" t="n"/>
      <c r="F19" s="242" t="n"/>
      <c r="G19" s="244" t="n">
        <v>60</v>
      </c>
      <c r="H19" s="242" t="inlineStr">
        <is>
          <t>驗證三部/AI訓練教材-L3</t>
        </is>
      </c>
      <c r="I19" s="242" t="n"/>
      <c r="J19" s="242" t="inlineStr">
        <is>
          <t>T7 技術評估</t>
        </is>
      </c>
      <c r="K19" s="245" t="n"/>
      <c r="L19" s="245" t="n"/>
    </row>
    <row r="20" ht="18" customHeight="1" s="195">
      <c r="A20" s="240" t="inlineStr">
        <is>
          <t xml:space="preserve">  T10</t>
        </is>
      </c>
      <c r="B20" s="241" t="n"/>
      <c r="C20" s="241" t="n"/>
      <c r="D20" s="241" t="n"/>
      <c r="E20" s="241" t="n"/>
      <c r="F20" s="241" t="n"/>
      <c r="G20" s="241" t="n"/>
      <c r="H20" s="241" t="n"/>
      <c r="I20" s="241" t="n"/>
      <c r="J20" s="241" t="n"/>
    </row>
    <row r="21" ht="27.75" customHeight="1" s="195">
      <c r="A21" s="242" t="n"/>
      <c r="B21" s="243" t="inlineStr">
        <is>
          <t>T10</t>
        </is>
      </c>
      <c r="C21" s="242" t="inlineStr">
        <is>
          <t>AI工具操作訓練（Neo4j/Qdrant）</t>
        </is>
      </c>
      <c r="D21" s="242" t="inlineStr">
        <is>
          <t>2026-09-15</t>
        </is>
      </c>
      <c r="E21" s="242" t="n"/>
      <c r="F21" s="242" t="n"/>
      <c r="G21" s="244" t="n">
        <v>0</v>
      </c>
      <c r="H21" s="242" t="inlineStr">
        <is>
          <t>驗證三部/教育訓練</t>
        </is>
      </c>
      <c r="I21" s="242" t="n"/>
      <c r="J21" s="242" t="inlineStr">
        <is>
          <t>T10 教育訓練</t>
        </is>
      </c>
      <c r="K21" s="245" t="n"/>
      <c r="L21" s="245" t="n"/>
    </row>
    <row r="23" ht="18" customHeight="1" s="195">
      <c r="A23" s="246" t="inlineStr">
        <is>
          <t xml:space="preserve">  【額外任務 - 不在專案開發計劃範圍，請自行新增】</t>
        </is>
      </c>
      <c r="B23" s="247" t="n"/>
      <c r="C23" s="247" t="n"/>
      <c r="D23" s="247" t="n"/>
      <c r="E23" s="247" t="n"/>
      <c r="F23" s="247" t="n"/>
      <c r="G23" s="247" t="n"/>
      <c r="H23" s="247" t="n"/>
      <c r="I23" s="247" t="n"/>
      <c r="J23" s="248" t="n"/>
    </row>
    <row r="24" ht="21.75" customHeight="1" s="195">
      <c r="A24" s="249" t="n"/>
      <c r="B24" s="250" t="inlineStr">
        <is>
          <t>E01</t>
        </is>
      </c>
      <c r="C24" s="249" t="n"/>
      <c r="D24" s="249" t="n"/>
      <c r="E24" s="249" t="n"/>
      <c r="F24" s="249" t="n"/>
      <c r="G24" s="251" t="n">
        <v>0</v>
      </c>
      <c r="H24" s="249" t="n"/>
      <c r="I24" s="249" t="n"/>
      <c r="J24" s="249" t="n"/>
      <c r="K24" s="245" t="n"/>
      <c r="L24" s="245" t="n"/>
    </row>
    <row r="25" ht="21.75" customHeight="1" s="195">
      <c r="A25" s="249" t="n"/>
      <c r="B25" s="250" t="inlineStr">
        <is>
          <t>E02</t>
        </is>
      </c>
      <c r="C25" s="249" t="n"/>
      <c r="D25" s="249" t="n"/>
      <c r="E25" s="249" t="n"/>
      <c r="F25" s="249" t="n"/>
      <c r="G25" s="251" t="n">
        <v>0</v>
      </c>
      <c r="H25" s="249" t="n"/>
      <c r="I25" s="249" t="n"/>
      <c r="J25" s="249" t="n"/>
      <c r="K25" s="245" t="n"/>
      <c r="L25" s="245" t="n"/>
    </row>
    <row r="26" ht="21.75" customHeight="1" s="195">
      <c r="A26" s="249" t="n"/>
      <c r="B26" s="250" t="inlineStr">
        <is>
          <t>E03</t>
        </is>
      </c>
      <c r="C26" s="249" t="n"/>
      <c r="D26" s="249" t="n"/>
      <c r="E26" s="249" t="n"/>
      <c r="F26" s="249" t="n"/>
      <c r="G26" s="251" t="n">
        <v>0</v>
      </c>
      <c r="H26" s="249" t="n"/>
      <c r="I26" s="249" t="n"/>
      <c r="J26" s="249" t="n"/>
      <c r="K26" s="245" t="n"/>
      <c r="L26" s="245" t="n"/>
    </row>
    <row r="27" ht="21.75" customHeight="1" s="195">
      <c r="A27" s="249" t="n"/>
      <c r="B27" s="250" t="inlineStr">
        <is>
          <t>E04</t>
        </is>
      </c>
      <c r="C27" s="249" t="n"/>
      <c r="D27" s="249" t="n"/>
      <c r="E27" s="249" t="n"/>
      <c r="F27" s="249" t="n"/>
      <c r="G27" s="251" t="n">
        <v>0</v>
      </c>
      <c r="H27" s="249" t="n"/>
      <c r="I27" s="249" t="n"/>
      <c r="J27" s="249" t="n"/>
      <c r="K27" s="245" t="n"/>
      <c r="L27" s="245" t="n"/>
    </row>
    <row r="28" ht="21.75" customHeight="1" s="195">
      <c r="A28" s="249" t="n"/>
      <c r="B28" s="250" t="inlineStr">
        <is>
          <t>E05</t>
        </is>
      </c>
      <c r="C28" s="249" t="n"/>
      <c r="D28" s="249" t="n"/>
      <c r="E28" s="249" t="n"/>
      <c r="F28" s="249" t="n"/>
      <c r="G28" s="251" t="n">
        <v>0</v>
      </c>
      <c r="H28" s="249" t="n"/>
      <c r="I28" s="249" t="n"/>
      <c r="J28" s="249" t="n"/>
      <c r="K28" s="245" t="n"/>
      <c r="L28" s="245" t="n"/>
    </row>
    <row r="29" ht="21.75" customHeight="1" s="195">
      <c r="A29" s="249" t="n"/>
      <c r="B29" s="250" t="inlineStr">
        <is>
          <t>E06</t>
        </is>
      </c>
      <c r="C29" s="249" t="n"/>
      <c r="D29" s="249" t="n"/>
      <c r="E29" s="249" t="n"/>
      <c r="F29" s="249" t="n"/>
      <c r="G29" s="251" t="n">
        <v>0</v>
      </c>
      <c r="H29" s="249" t="n"/>
      <c r="I29" s="249" t="n"/>
      <c r="J29" s="249" t="n"/>
      <c r="K29" s="245" t="n"/>
      <c r="L29" s="245" t="n"/>
    </row>
    <row r="30" ht="21.75" customHeight="1" s="195">
      <c r="A30" s="249" t="n"/>
      <c r="B30" s="250" t="inlineStr">
        <is>
          <t>E07</t>
        </is>
      </c>
      <c r="C30" s="249" t="n"/>
      <c r="D30" s="249" t="n"/>
      <c r="E30" s="249" t="n"/>
      <c r="F30" s="249" t="n"/>
      <c r="G30" s="251" t="n">
        <v>0</v>
      </c>
      <c r="H30" s="249" t="n"/>
      <c r="I30" s="249" t="n"/>
      <c r="J30" s="249" t="n"/>
      <c r="K30" s="245" t="n"/>
      <c r="L30" s="245" t="n"/>
    </row>
    <row r="31" ht="21.75" customHeight="1" s="195">
      <c r="A31" s="249" t="n"/>
      <c r="B31" s="250" t="inlineStr">
        <is>
          <t>E08</t>
        </is>
      </c>
      <c r="C31" s="249" t="n"/>
      <c r="D31" s="249" t="n"/>
      <c r="E31" s="249" t="n"/>
      <c r="F31" s="249" t="n"/>
      <c r="G31" s="251" t="n">
        <v>0</v>
      </c>
      <c r="H31" s="249" t="n"/>
      <c r="I31" s="249" t="n"/>
      <c r="J31" s="249" t="n"/>
      <c r="K31" s="245" t="n"/>
      <c r="L31" s="245" t="n"/>
    </row>
  </sheetData>
  <mergeCells count="3">
    <mergeCell ref="A1:J1"/>
    <mergeCell ref="A23:J23"/>
    <mergeCell ref="A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20" customWidth="1" style="194" min="1" max="1"/>
    <col width="8" customWidth="1" style="194" min="2" max="2"/>
    <col width="40" customWidth="1" style="194" min="3" max="3"/>
    <col width="14" customWidth="1" style="194" min="4" max="5"/>
    <col width="22" customWidth="1" style="194" min="6" max="6"/>
    <col width="10" customWidth="1" style="194" min="7" max="7"/>
    <col width="28" customWidth="1" style="194" min="8" max="8"/>
    <col width="35" customWidth="1" style="194" min="9" max="9"/>
    <col width="25" customWidth="1" style="194" min="10" max="10"/>
    <col width="35" customWidth="1" style="194" min="11" max="11"/>
    <col width="30" customWidth="1" style="194" min="12" max="12"/>
  </cols>
  <sheetData>
    <row r="1" ht="27.75" customHeight="1" s="195">
      <c r="A1" s="236" t="inlineStr">
        <is>
          <t>Team-III 個人週報  ｜  Alf  ｜  2026 July</t>
        </is>
      </c>
    </row>
    <row r="2" ht="60" customHeight="1" s="195">
      <c r="A2" s="237" t="inlineStr">
        <is>
          <t>▸ 請填寫「預計完成日」「實際完成日」「進度(%)」「交付路徑」，進度將連動至Dashboard
▸ T# 編號對應開發計劃分頁，請與開發計劃進度保持一致
▸ 有不在專案開發計劃的工作，請自行新增於下方額外任務區
▸ 完成後請上傳至SharePoint</t>
        </is>
      </c>
      <c r="K2" s="237" t="inlineStr">
        <is>
          <t>▸ 本週的關鍵技術判斷？為什麼這樣決定？</t>
        </is>
      </c>
      <c r="L2" s="237" t="inlineStr">
        <is>
          <t>▸ 本週否決過AI的哪個建議？為什麼？</t>
        </is>
      </c>
    </row>
    <row r="3" ht="21.75" customHeight="1" s="195">
      <c r="A3" s="238" t="inlineStr">
        <is>
          <t>任務群組</t>
        </is>
      </c>
      <c r="B3" s="238" t="inlineStr">
        <is>
          <t>T#</t>
        </is>
      </c>
      <c r="C3" s="238" t="inlineStr">
        <is>
          <t>任務</t>
        </is>
      </c>
      <c r="D3" s="238" t="inlineStr">
        <is>
          <t>預計完成日</t>
        </is>
      </c>
      <c r="E3" s="238" t="inlineStr">
        <is>
          <t>實際完成日</t>
        </is>
      </c>
      <c r="F3" s="238" t="inlineStr">
        <is>
          <t>進度狀態</t>
        </is>
      </c>
      <c r="G3" s="238" t="inlineStr">
        <is>
          <t>進度(%)</t>
        </is>
      </c>
      <c r="H3" s="238" t="inlineStr">
        <is>
          <t>交付至（SharePoint）</t>
        </is>
      </c>
      <c r="I3" s="238" t="inlineStr">
        <is>
          <t>交付路徑</t>
        </is>
      </c>
      <c r="J3" s="238" t="inlineStr">
        <is>
          <t>備註</t>
        </is>
      </c>
      <c r="K3" s="239" t="inlineStr">
        <is>
          <t>關鍵判斷</t>
        </is>
      </c>
      <c r="L3" s="239" t="inlineStr">
        <is>
          <t>否決AI記錄</t>
        </is>
      </c>
    </row>
    <row r="4" ht="18" customHeight="1" s="195">
      <c r="A4" s="240" t="inlineStr">
        <is>
          <t xml:space="preserve">  T6-B2</t>
        </is>
      </c>
      <c r="B4" s="241" t="n"/>
      <c r="C4" s="241" t="n"/>
      <c r="D4" s="241" t="n"/>
      <c r="E4" s="241" t="n"/>
      <c r="F4" s="241" t="n"/>
      <c r="G4" s="241" t="n"/>
      <c r="H4" s="241" t="n"/>
      <c r="I4" s="241" t="n"/>
      <c r="J4" s="241" t="n"/>
    </row>
    <row r="5" ht="27.75" customHeight="1" s="195">
      <c r="A5" s="242" t="n"/>
      <c r="B5" s="243" t="inlineStr">
        <is>
          <t>T6-B2</t>
        </is>
      </c>
      <c r="C5" s="242" t="inlineStr">
        <is>
          <t>成本效益分析流程設計</t>
        </is>
      </c>
      <c r="D5" s="242" t="inlineStr">
        <is>
          <t>2026-08-28</t>
        </is>
      </c>
      <c r="E5" s="242" t="n"/>
      <c r="F5" s="242" t="n"/>
      <c r="G5" s="244" t="n">
        <v>0</v>
      </c>
      <c r="H5" s="242" t="inlineStr">
        <is>
          <t>驗證三部/AI訓練教材-L3</t>
        </is>
      </c>
      <c r="I5" s="242" t="n"/>
      <c r="J5" s="242" t="inlineStr">
        <is>
          <t>T6 LLM選型</t>
        </is>
      </c>
      <c r="K5" s="245" t="n"/>
      <c r="L5" s="245" t="n"/>
    </row>
    <row r="6" ht="18" customHeight="1" s="195">
      <c r="A6" s="240" t="inlineStr">
        <is>
          <t xml:space="preserve">  T6-K2</t>
        </is>
      </c>
      <c r="B6" s="241" t="n"/>
      <c r="C6" s="241" t="n"/>
      <c r="D6" s="241" t="n"/>
      <c r="E6" s="241" t="n"/>
      <c r="F6" s="241" t="n"/>
      <c r="G6" s="241" t="n"/>
      <c r="H6" s="241" t="n"/>
      <c r="I6" s="241" t="n"/>
      <c r="J6" s="241" t="n"/>
    </row>
    <row r="7" ht="27.75" customHeight="1" s="195">
      <c r="A7" s="242" t="n"/>
      <c r="B7" s="243" t="inlineStr">
        <is>
          <t>T6-K2</t>
        </is>
      </c>
      <c r="C7" s="242" t="inlineStr">
        <is>
          <t>候選模型文件收集</t>
        </is>
      </c>
      <c r="D7" s="242" t="inlineStr">
        <is>
          <t>2026-08-20</t>
        </is>
      </c>
      <c r="E7" s="242" t="n"/>
      <c r="F7" s="242" t="n"/>
      <c r="G7" s="244" t="n">
        <v>0</v>
      </c>
      <c r="H7" s="242" t="inlineStr">
        <is>
          <t>驗證三部/AI訓練教材-L3</t>
        </is>
      </c>
      <c r="I7" s="242" t="n"/>
      <c r="J7" s="242" t="inlineStr">
        <is>
          <t>T6 LLM選型</t>
        </is>
      </c>
      <c r="K7" s="245" t="n"/>
      <c r="L7" s="245" t="n"/>
    </row>
    <row r="8" ht="18" customHeight="1" s="195">
      <c r="A8" s="240" t="inlineStr">
        <is>
          <t xml:space="preserve">  T7</t>
        </is>
      </c>
      <c r="B8" s="241" t="n"/>
      <c r="C8" s="241" t="n"/>
      <c r="D8" s="241" t="n"/>
      <c r="E8" s="241" t="n"/>
      <c r="F8" s="241" t="n"/>
      <c r="G8" s="241" t="n"/>
      <c r="H8" s="241" t="n"/>
      <c r="I8" s="241" t="n"/>
      <c r="J8" s="241" t="n"/>
    </row>
    <row r="9" ht="27.75" customHeight="1" s="195">
      <c r="A9" s="242" t="n"/>
      <c r="B9" s="243" t="inlineStr">
        <is>
          <t>T7</t>
        </is>
      </c>
      <c r="C9" s="242" t="inlineStr">
        <is>
          <t>工具鏈分析與整合可行性評估</t>
        </is>
      </c>
      <c r="D9" s="242" t="inlineStr">
        <is>
          <t>2026-08-31</t>
        </is>
      </c>
      <c r="E9" s="242" t="n"/>
      <c r="F9" s="242" t="n"/>
      <c r="G9" s="244" t="n">
        <v>30</v>
      </c>
      <c r="H9" s="242" t="inlineStr">
        <is>
          <t>驗證三部/AI訓練教材-L3</t>
        </is>
      </c>
      <c r="I9" s="242" t="n"/>
      <c r="J9" s="242" t="inlineStr">
        <is>
          <t>T7 OpenVitamin 全權負責</t>
        </is>
      </c>
      <c r="K9" s="245" t="n"/>
      <c r="L9" s="245" t="n"/>
    </row>
    <row r="10" ht="18" customHeight="1" s="195">
      <c r="A10" s="240" t="inlineStr">
        <is>
          <t xml:space="preserve">  T7-01</t>
        </is>
      </c>
      <c r="B10" s="241" t="n"/>
      <c r="C10" s="241" t="n"/>
      <c r="D10" s="241" t="n"/>
      <c r="E10" s="241" t="n"/>
      <c r="F10" s="241" t="n"/>
      <c r="G10" s="241" t="n"/>
      <c r="H10" s="241" t="n"/>
      <c r="I10" s="241" t="n"/>
      <c r="J10" s="241" t="n"/>
    </row>
    <row r="11" ht="27.75" customHeight="1" s="195">
      <c r="A11" s="242" t="n"/>
      <c r="B11" s="243" t="inlineStr">
        <is>
          <t>T7-01</t>
        </is>
      </c>
      <c r="C11" s="242" t="inlineStr">
        <is>
          <t>OpenVitamin 系統功能模組分析</t>
        </is>
      </c>
      <c r="D11" s="242" t="inlineStr">
        <is>
          <t>2026-08-08</t>
        </is>
      </c>
      <c r="E11" s="242" t="n"/>
      <c r="F11" s="242" t="n"/>
      <c r="G11" s="244" t="n">
        <v>60</v>
      </c>
      <c r="H11" s="242" t="inlineStr">
        <is>
          <t>驗證三部/AI訓練教材-L3</t>
        </is>
      </c>
      <c r="I11" s="242" t="n"/>
      <c r="J11" s="242" t="inlineStr">
        <is>
          <t>T7 技術評估</t>
        </is>
      </c>
      <c r="K11" s="245" t="n"/>
      <c r="L11" s="245" t="n"/>
    </row>
    <row r="12" ht="18" customHeight="1" s="195">
      <c r="A12" s="240" t="inlineStr">
        <is>
          <t xml:space="preserve">  T7-02</t>
        </is>
      </c>
      <c r="B12" s="241" t="n"/>
      <c r="C12" s="241" t="n"/>
      <c r="D12" s="241" t="n"/>
      <c r="E12" s="241" t="n"/>
      <c r="F12" s="241" t="n"/>
      <c r="G12" s="241" t="n"/>
      <c r="H12" s="241" t="n"/>
      <c r="I12" s="241" t="n"/>
      <c r="J12" s="241" t="n"/>
    </row>
    <row r="13" ht="27.75" customHeight="1" s="195">
      <c r="A13" s="242" t="n"/>
      <c r="B13" s="243" t="inlineStr">
        <is>
          <t>T7-02</t>
        </is>
      </c>
      <c r="C13" s="242" t="inlineStr">
        <is>
          <t>原生架構深度分析</t>
        </is>
      </c>
      <c r="D13" s="242" t="inlineStr">
        <is>
          <t>2026-08-12</t>
        </is>
      </c>
      <c r="E13" s="242" t="n"/>
      <c r="F13" s="242" t="n"/>
      <c r="G13" s="244" t="n">
        <v>50</v>
      </c>
      <c r="H13" s="242" t="inlineStr">
        <is>
          <t>驗證三部/AI訓練教材-L3</t>
        </is>
      </c>
      <c r="I13" s="242" t="n"/>
      <c r="J13" s="242" t="inlineStr">
        <is>
          <t>T7 技術評估</t>
        </is>
      </c>
      <c r="K13" s="245" t="n"/>
      <c r="L13" s="245" t="n"/>
    </row>
    <row r="14" ht="18" customHeight="1" s="195">
      <c r="A14" s="240" t="inlineStr">
        <is>
          <t xml:space="preserve">  T7-03</t>
        </is>
      </c>
      <c r="B14" s="241" t="n"/>
      <c r="C14" s="241" t="n"/>
      <c r="D14" s="241" t="n"/>
      <c r="E14" s="241" t="n"/>
      <c r="F14" s="241" t="n"/>
      <c r="G14" s="241" t="n"/>
      <c r="H14" s="241" t="n"/>
      <c r="I14" s="241" t="n"/>
      <c r="J14" s="241" t="n"/>
    </row>
    <row r="15" ht="27.75" customHeight="1" s="195">
      <c r="A15" s="242" t="n"/>
      <c r="B15" s="243" t="inlineStr">
        <is>
          <t>T7-03</t>
        </is>
      </c>
      <c r="C15" s="242" t="inlineStr">
        <is>
          <t>與內部系統整合架構規劃</t>
        </is>
      </c>
      <c r="D15" s="242" t="inlineStr">
        <is>
          <t>2026-08-15</t>
        </is>
      </c>
      <c r="E15" s="242" t="n"/>
      <c r="F15" s="242" t="n"/>
      <c r="G15" s="244" t="n">
        <v>50</v>
      </c>
      <c r="H15" s="242" t="inlineStr">
        <is>
          <t>驗證三部/AI訓練教材-L3</t>
        </is>
      </c>
      <c r="I15" s="242" t="n"/>
      <c r="J15" s="242" t="inlineStr">
        <is>
          <t>T7 技術評估</t>
        </is>
      </c>
      <c r="K15" s="245" t="n"/>
      <c r="L15" s="245" t="n"/>
    </row>
    <row r="16" ht="18" customHeight="1" s="195">
      <c r="A16" s="240" t="inlineStr">
        <is>
          <t xml:space="preserve">  T7-04</t>
        </is>
      </c>
      <c r="B16" s="241" t="n"/>
      <c r="C16" s="241" t="n"/>
      <c r="D16" s="241" t="n"/>
      <c r="E16" s="241" t="n"/>
      <c r="F16" s="241" t="n"/>
      <c r="G16" s="241" t="n"/>
      <c r="H16" s="241" t="n"/>
      <c r="I16" s="241" t="n"/>
      <c r="J16" s="241" t="n"/>
    </row>
    <row r="17" ht="27.75" customHeight="1" s="195">
      <c r="A17" s="242" t="n"/>
      <c r="B17" s="243" t="inlineStr">
        <is>
          <t>T7-04</t>
        </is>
      </c>
      <c r="C17" s="242" t="inlineStr">
        <is>
          <t>OpenVitamin vs 未來幢平台 vs 自建方案</t>
        </is>
      </c>
      <c r="D17" s="242" t="inlineStr">
        <is>
          <t>2026-08-19</t>
        </is>
      </c>
      <c r="E17" s="242" t="n"/>
      <c r="F17" s="242" t="n"/>
      <c r="G17" s="244" t="n">
        <v>40</v>
      </c>
      <c r="H17" s="242" t="inlineStr">
        <is>
          <t>驗證三部/AI訓練教材-L3</t>
        </is>
      </c>
      <c r="I17" s="242" t="n"/>
      <c r="J17" s="242" t="inlineStr">
        <is>
          <t>T7 技術評估</t>
        </is>
      </c>
      <c r="K17" s="245" t="n"/>
      <c r="L17" s="245" t="n"/>
    </row>
    <row r="18" ht="18" customHeight="1" s="195">
      <c r="A18" s="240" t="inlineStr">
        <is>
          <t xml:space="preserve">  T7-05</t>
        </is>
      </c>
      <c r="B18" s="241" t="n"/>
      <c r="C18" s="241" t="n"/>
      <c r="D18" s="241" t="n"/>
      <c r="E18" s="241" t="n"/>
      <c r="F18" s="241" t="n"/>
      <c r="G18" s="241" t="n"/>
      <c r="H18" s="241" t="n"/>
      <c r="I18" s="241" t="n"/>
      <c r="J18" s="241" t="n"/>
    </row>
    <row r="19" ht="27.75" customHeight="1" s="195">
      <c r="A19" s="242" t="n"/>
      <c r="B19" s="243" t="inlineStr">
        <is>
          <t>T7-05</t>
        </is>
      </c>
      <c r="C19" s="242" t="inlineStr">
        <is>
          <t>五大應用場景流程設計</t>
        </is>
      </c>
      <c r="D19" s="242" t="inlineStr">
        <is>
          <t>2026-08-15</t>
        </is>
      </c>
      <c r="E19" s="242" t="n"/>
      <c r="F19" s="242" t="n"/>
      <c r="G19" s="244" t="n">
        <v>60</v>
      </c>
      <c r="H19" s="242" t="inlineStr">
        <is>
          <t>驗證三部/AI訓練教材-L3</t>
        </is>
      </c>
      <c r="I19" s="242" t="n"/>
      <c r="J19" s="242" t="inlineStr">
        <is>
          <t>T7 技術評估</t>
        </is>
      </c>
      <c r="K19" s="245" t="n"/>
      <c r="L19" s="245" t="n"/>
    </row>
    <row r="20" ht="18" customHeight="1" s="195">
      <c r="A20" s="240" t="inlineStr">
        <is>
          <t xml:space="preserve">  T8</t>
        </is>
      </c>
      <c r="B20" s="241" t="n"/>
      <c r="C20" s="241" t="n"/>
      <c r="D20" s="241" t="n"/>
      <c r="E20" s="241" t="n"/>
      <c r="F20" s="241" t="n"/>
      <c r="G20" s="241" t="n"/>
      <c r="H20" s="241" t="n"/>
      <c r="I20" s="241" t="n"/>
      <c r="J20" s="241" t="n"/>
    </row>
    <row r="21" ht="27.75" customHeight="1" s="195">
      <c r="A21" s="242" t="n"/>
      <c r="B21" s="243" t="inlineStr">
        <is>
          <t>T8</t>
        </is>
      </c>
      <c r="C21" s="242" t="inlineStr">
        <is>
          <t>API架構設計、開發與文件編寫</t>
        </is>
      </c>
      <c r="D21" s="242" t="inlineStr">
        <is>
          <t>2026-09-30</t>
        </is>
      </c>
      <c r="E21" s="242" t="n"/>
      <c r="F21" s="242" t="n"/>
      <c r="G21" s="244" t="n">
        <v>20</v>
      </c>
      <c r="H21" s="242" t="inlineStr">
        <is>
          <t>驗證三部/專案計畫</t>
        </is>
      </c>
      <c r="I21" s="242" t="n"/>
      <c r="J21" s="242" t="inlineStr">
        <is>
          <t>T8 Sub2Api 全權負責</t>
        </is>
      </c>
      <c r="K21" s="245" t="n"/>
      <c r="L21" s="245" t="n"/>
    </row>
    <row r="22" ht="18" customHeight="1" s="195">
      <c r="A22" s="240" t="inlineStr">
        <is>
          <t xml:space="preserve">  T8-01</t>
        </is>
      </c>
      <c r="B22" s="241" t="n"/>
      <c r="C22" s="241" t="n"/>
      <c r="D22" s="241" t="n"/>
      <c r="E22" s="241" t="n"/>
      <c r="F22" s="241" t="n"/>
      <c r="G22" s="241" t="n"/>
      <c r="H22" s="241" t="n"/>
      <c r="I22" s="241" t="n"/>
      <c r="J22" s="241" t="n"/>
    </row>
    <row r="23" ht="27.75" customHeight="1" s="195">
      <c r="A23" s="242" t="n"/>
      <c r="B23" s="243" t="inlineStr">
        <is>
          <t>T8-01</t>
        </is>
      </c>
      <c r="C23" s="242" t="inlineStr">
        <is>
          <t>Sub2Api系統架構規劃</t>
        </is>
      </c>
      <c r="D23" s="242" t="inlineStr">
        <is>
          <t>2026-08-05</t>
        </is>
      </c>
      <c r="E23" s="242" t="n"/>
      <c r="F23" s="242" t="n"/>
      <c r="G23" s="244" t="n">
        <v>70</v>
      </c>
      <c r="H23" s="242" t="inlineStr">
        <is>
          <t>驗證三部/專案計畫</t>
        </is>
      </c>
      <c r="I23" s="242" t="n"/>
      <c r="J23" s="242" t="inlineStr">
        <is>
          <t>T8 Sub2Api</t>
        </is>
      </c>
      <c r="K23" s="245" t="n"/>
      <c r="L23" s="245" t="n"/>
    </row>
    <row r="24" ht="18" customHeight="1" s="195">
      <c r="A24" s="240" t="inlineStr">
        <is>
          <t xml:space="preserve">  T8-02</t>
        </is>
      </c>
      <c r="B24" s="241" t="n"/>
      <c r="C24" s="241" t="n"/>
      <c r="D24" s="241" t="n"/>
      <c r="E24" s="241" t="n"/>
      <c r="F24" s="241" t="n"/>
      <c r="G24" s="241" t="n"/>
      <c r="H24" s="241" t="n"/>
      <c r="I24" s="241" t="n"/>
      <c r="J24" s="241" t="n"/>
    </row>
    <row r="25" ht="27.75" customHeight="1" s="195">
      <c r="A25" s="242" t="n"/>
      <c r="B25" s="243" t="inlineStr">
        <is>
          <t>T8-02</t>
        </is>
      </c>
      <c r="C25" s="242" t="inlineStr">
        <is>
          <t>REST API規格定義</t>
        </is>
      </c>
      <c r="D25" s="242" t="inlineStr">
        <is>
          <t>2026-08-08</t>
        </is>
      </c>
      <c r="E25" s="242" t="n"/>
      <c r="F25" s="242" t="n"/>
      <c r="G25" s="244" t="n">
        <v>70</v>
      </c>
      <c r="H25" s="242" t="inlineStr">
        <is>
          <t>驗證三部/專案計畫</t>
        </is>
      </c>
      <c r="I25" s="242" t="n"/>
      <c r="J25" s="242" t="inlineStr">
        <is>
          <t>T8 Sub2Api</t>
        </is>
      </c>
      <c r="K25" s="245" t="n"/>
      <c r="L25" s="245" t="n"/>
    </row>
    <row r="26" ht="18" customHeight="1" s="195">
      <c r="A26" s="240" t="inlineStr">
        <is>
          <t xml:space="preserve">  T8-03</t>
        </is>
      </c>
      <c r="B26" s="241" t="n"/>
      <c r="C26" s="241" t="n"/>
      <c r="D26" s="241" t="n"/>
      <c r="E26" s="241" t="n"/>
      <c r="F26" s="241" t="n"/>
      <c r="G26" s="241" t="n"/>
      <c r="H26" s="241" t="n"/>
      <c r="I26" s="241" t="n"/>
      <c r="J26" s="241" t="n"/>
    </row>
    <row r="27" ht="27.75" customHeight="1" s="195">
      <c r="A27" s="242" t="n"/>
      <c r="B27" s="243" t="inlineStr">
        <is>
          <t>T8-03</t>
        </is>
      </c>
      <c r="C27" s="242" t="inlineStr">
        <is>
          <t>資料模型設計</t>
        </is>
      </c>
      <c r="D27" s="242" t="inlineStr">
        <is>
          <t>2026-08-08</t>
        </is>
      </c>
      <c r="E27" s="242" t="n"/>
      <c r="F27" s="242" t="n"/>
      <c r="G27" s="244" t="n">
        <v>60</v>
      </c>
      <c r="H27" s="242" t="inlineStr">
        <is>
          <t>驗證三部/專案計畫</t>
        </is>
      </c>
      <c r="I27" s="242" t="n"/>
      <c r="J27" s="242" t="inlineStr">
        <is>
          <t>T8 Sub2Api</t>
        </is>
      </c>
      <c r="K27" s="245" t="n"/>
      <c r="L27" s="245" t="n"/>
    </row>
    <row r="28" ht="18" customHeight="1" s="195">
      <c r="A28" s="240" t="inlineStr">
        <is>
          <t xml:space="preserve">  T8-04</t>
        </is>
      </c>
      <c r="B28" s="241" t="n"/>
      <c r="C28" s="241" t="n"/>
      <c r="D28" s="241" t="n"/>
      <c r="E28" s="241" t="n"/>
      <c r="F28" s="241" t="n"/>
      <c r="G28" s="241" t="n"/>
      <c r="H28" s="241" t="n"/>
      <c r="I28" s="241" t="n"/>
      <c r="J28" s="241" t="n"/>
    </row>
    <row r="29" ht="27.75" customHeight="1" s="195">
      <c r="A29" s="242" t="n"/>
      <c r="B29" s="243" t="inlineStr">
        <is>
          <t>T8-04</t>
        </is>
      </c>
      <c r="C29" s="242" t="inlineStr">
        <is>
          <t>API處理流程設計</t>
        </is>
      </c>
      <c r="D29" s="242" t="inlineStr">
        <is>
          <t>2026-08-10</t>
        </is>
      </c>
      <c r="E29" s="242" t="n"/>
      <c r="F29" s="242" t="n"/>
      <c r="G29" s="244" t="n">
        <v>60</v>
      </c>
      <c r="H29" s="242" t="inlineStr">
        <is>
          <t>驗證三部/專案計畫</t>
        </is>
      </c>
      <c r="I29" s="242" t="n"/>
      <c r="J29" s="242" t="inlineStr">
        <is>
          <t>T8 Sub2Api</t>
        </is>
      </c>
      <c r="K29" s="245" t="n"/>
      <c r="L29" s="245" t="n"/>
    </row>
    <row r="30" ht="18" customHeight="1" s="195">
      <c r="A30" s="240" t="inlineStr">
        <is>
          <t xml:space="preserve">  T8-05</t>
        </is>
      </c>
      <c r="B30" s="241" t="n"/>
      <c r="C30" s="241" t="n"/>
      <c r="D30" s="241" t="n"/>
      <c r="E30" s="241" t="n"/>
      <c r="F30" s="241" t="n"/>
      <c r="G30" s="241" t="n"/>
      <c r="H30" s="241" t="n"/>
      <c r="I30" s="241" t="n"/>
      <c r="J30" s="241" t="n"/>
    </row>
    <row r="31" ht="27.75" customHeight="1" s="195">
      <c r="A31" s="242" t="n"/>
      <c r="B31" s="243" t="inlineStr">
        <is>
          <t>T8-05</t>
        </is>
      </c>
      <c r="C31" s="242" t="inlineStr">
        <is>
          <t>認證授權流程設計</t>
        </is>
      </c>
      <c r="D31" s="242" t="inlineStr">
        <is>
          <t>2026-08-10</t>
        </is>
      </c>
      <c r="E31" s="242" t="n"/>
      <c r="F31" s="242" t="n"/>
      <c r="G31" s="244" t="n">
        <v>60</v>
      </c>
      <c r="H31" s="242" t="inlineStr">
        <is>
          <t>驗證三部/專案計畫</t>
        </is>
      </c>
      <c r="I31" s="242" t="n"/>
      <c r="J31" s="242" t="inlineStr">
        <is>
          <t>T8 Sub2Api</t>
        </is>
      </c>
      <c r="K31" s="245" t="n"/>
      <c r="L31" s="245" t="n"/>
    </row>
    <row r="33" ht="18" customHeight="1" s="195">
      <c r="A33" s="246" t="inlineStr">
        <is>
          <t xml:space="preserve">  【額外任務 - 不在專案開發計劃範圍，請自行新增】</t>
        </is>
      </c>
      <c r="B33" s="247" t="n"/>
      <c r="C33" s="247" t="n"/>
      <c r="D33" s="247" t="n"/>
      <c r="E33" s="247" t="n"/>
      <c r="F33" s="247" t="n"/>
      <c r="G33" s="247" t="n"/>
      <c r="H33" s="247" t="n"/>
      <c r="I33" s="247" t="n"/>
      <c r="J33" s="248" t="n"/>
    </row>
    <row r="34" ht="21.75" customHeight="1" s="195">
      <c r="A34" s="249" t="n"/>
      <c r="B34" s="250" t="inlineStr">
        <is>
          <t>E01</t>
        </is>
      </c>
      <c r="C34" s="249" t="n"/>
      <c r="D34" s="249" t="n"/>
      <c r="E34" s="249" t="n"/>
      <c r="F34" s="249" t="n"/>
      <c r="G34" s="251" t="n">
        <v>0</v>
      </c>
      <c r="H34" s="249" t="n"/>
      <c r="I34" s="249" t="n"/>
      <c r="J34" s="249" t="n"/>
      <c r="K34" s="245" t="n"/>
      <c r="L34" s="245" t="n"/>
    </row>
    <row r="35" ht="21.75" customHeight="1" s="195">
      <c r="A35" s="249" t="n"/>
      <c r="B35" s="250" t="inlineStr">
        <is>
          <t>E02</t>
        </is>
      </c>
      <c r="C35" s="249" t="n"/>
      <c r="D35" s="249" t="n"/>
      <c r="E35" s="249" t="n"/>
      <c r="F35" s="249" t="n"/>
      <c r="G35" s="251" t="n">
        <v>0</v>
      </c>
      <c r="H35" s="249" t="n"/>
      <c r="I35" s="249" t="n"/>
      <c r="J35" s="249" t="n"/>
      <c r="K35" s="245" t="n"/>
      <c r="L35" s="245" t="n"/>
    </row>
    <row r="36" ht="21.75" customHeight="1" s="195">
      <c r="A36" s="249" t="n"/>
      <c r="B36" s="250" t="inlineStr">
        <is>
          <t>E03</t>
        </is>
      </c>
      <c r="C36" s="249" t="n"/>
      <c r="D36" s="249" t="n"/>
      <c r="E36" s="249" t="n"/>
      <c r="F36" s="249" t="n"/>
      <c r="G36" s="251" t="n">
        <v>0</v>
      </c>
      <c r="H36" s="249" t="n"/>
      <c r="I36" s="249" t="n"/>
      <c r="J36" s="249" t="n"/>
      <c r="K36" s="245" t="n"/>
      <c r="L36" s="245" t="n"/>
    </row>
    <row r="37" ht="21.75" customHeight="1" s="195">
      <c r="A37" s="249" t="n"/>
      <c r="B37" s="250" t="inlineStr">
        <is>
          <t>E04</t>
        </is>
      </c>
      <c r="C37" s="249" t="n"/>
      <c r="D37" s="249" t="n"/>
      <c r="E37" s="249" t="n"/>
      <c r="F37" s="249" t="n"/>
      <c r="G37" s="251" t="n">
        <v>0</v>
      </c>
      <c r="H37" s="249" t="n"/>
      <c r="I37" s="249" t="n"/>
      <c r="J37" s="249" t="n"/>
      <c r="K37" s="245" t="n"/>
      <c r="L37" s="245" t="n"/>
    </row>
    <row r="38" ht="21.75" customHeight="1" s="195">
      <c r="A38" s="249" t="n"/>
      <c r="B38" s="250" t="inlineStr">
        <is>
          <t>E05</t>
        </is>
      </c>
      <c r="C38" s="249" t="n"/>
      <c r="D38" s="249" t="n"/>
      <c r="E38" s="249" t="n"/>
      <c r="F38" s="249" t="n"/>
      <c r="G38" s="251" t="n">
        <v>0</v>
      </c>
      <c r="H38" s="249" t="n"/>
      <c r="I38" s="249" t="n"/>
      <c r="J38" s="249" t="n"/>
      <c r="K38" s="245" t="n"/>
      <c r="L38" s="245" t="n"/>
    </row>
    <row r="39" ht="21.75" customHeight="1" s="195">
      <c r="A39" s="249" t="n"/>
      <c r="B39" s="250" t="inlineStr">
        <is>
          <t>E06</t>
        </is>
      </c>
      <c r="C39" s="249" t="n"/>
      <c r="D39" s="249" t="n"/>
      <c r="E39" s="249" t="n"/>
      <c r="F39" s="249" t="n"/>
      <c r="G39" s="251" t="n">
        <v>0</v>
      </c>
      <c r="H39" s="249" t="n"/>
      <c r="I39" s="249" t="n"/>
      <c r="J39" s="249" t="n"/>
      <c r="K39" s="245" t="n"/>
      <c r="L39" s="245" t="n"/>
    </row>
    <row r="40" ht="21.75" customHeight="1" s="195">
      <c r="A40" s="249" t="n"/>
      <c r="B40" s="250" t="inlineStr">
        <is>
          <t>E07</t>
        </is>
      </c>
      <c r="C40" s="249" t="n"/>
      <c r="D40" s="249" t="n"/>
      <c r="E40" s="249" t="n"/>
      <c r="F40" s="249" t="n"/>
      <c r="G40" s="251" t="n">
        <v>0</v>
      </c>
      <c r="H40" s="249" t="n"/>
      <c r="I40" s="249" t="n"/>
      <c r="J40" s="249" t="n"/>
      <c r="K40" s="245" t="n"/>
      <c r="L40" s="245" t="n"/>
    </row>
    <row r="41" ht="21.75" customHeight="1" s="195">
      <c r="A41" s="249" t="n"/>
      <c r="B41" s="250" t="inlineStr">
        <is>
          <t>E08</t>
        </is>
      </c>
      <c r="C41" s="249" t="n"/>
      <c r="D41" s="249" t="n"/>
      <c r="E41" s="249" t="n"/>
      <c r="F41" s="249" t="n"/>
      <c r="G41" s="251" t="n">
        <v>0</v>
      </c>
      <c r="H41" s="249" t="n"/>
      <c r="I41" s="249" t="n"/>
      <c r="J41" s="249" t="n"/>
      <c r="K41" s="245" t="n"/>
      <c r="L41" s="245" t="n"/>
    </row>
  </sheetData>
  <mergeCells count="3">
    <mergeCell ref="A1:J1"/>
    <mergeCell ref="A33:J33"/>
    <mergeCell ref="A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20" customWidth="1" style="194" min="1" max="1"/>
    <col width="8" customWidth="1" style="194" min="2" max="2"/>
    <col width="40" customWidth="1" style="194" min="3" max="3"/>
    <col width="14" customWidth="1" style="194" min="4" max="5"/>
    <col width="22" customWidth="1" style="194" min="6" max="6"/>
    <col width="10" customWidth="1" style="194" min="7" max="7"/>
    <col width="28" customWidth="1" style="194" min="8" max="8"/>
    <col width="35" customWidth="1" style="194" min="9" max="9"/>
    <col width="25" customWidth="1" style="194" min="10" max="10"/>
    <col width="35" customWidth="1" style="194" min="11" max="11"/>
    <col width="30" customWidth="1" style="194" min="12" max="12"/>
  </cols>
  <sheetData>
    <row r="1" ht="27.75" customHeight="1" s="195">
      <c r="A1" s="236" t="inlineStr">
        <is>
          <t>Team-III 個人週報  ｜  Sam  ｜  2026 July</t>
        </is>
      </c>
    </row>
    <row r="2" ht="60" customHeight="1" s="195">
      <c r="A2" s="237" t="inlineStr">
        <is>
          <t>▸ 請填寫「預計完成日」「實際完成日」「進度(%)」「交付路徑」，進度將連動至Dashboard
▸ T# 編號對應開發計劃分頁，請與開發計劃進度保持一致
▸ 有不在專案開發計劃的工作，請自行新增於下方額外任務區
▸ 完成後請上傳至SharePoint</t>
        </is>
      </c>
      <c r="K2" s="237" t="inlineStr">
        <is>
          <t>▸ 本週的關鍵技術判斷？為什麼這樣決定？</t>
        </is>
      </c>
      <c r="L2" s="237" t="inlineStr">
        <is>
          <t>▸ 本週否決過AI的哪個建議？為什麼？</t>
        </is>
      </c>
    </row>
    <row r="3" ht="21.75" customHeight="1" s="195">
      <c r="A3" s="238" t="inlineStr">
        <is>
          <t>任務群組</t>
        </is>
      </c>
      <c r="B3" s="238" t="inlineStr">
        <is>
          <t>T#</t>
        </is>
      </c>
      <c r="C3" s="238" t="inlineStr">
        <is>
          <t>任務</t>
        </is>
      </c>
      <c r="D3" s="238" t="inlineStr">
        <is>
          <t>預計完成日</t>
        </is>
      </c>
      <c r="E3" s="238" t="inlineStr">
        <is>
          <t>實際完成日</t>
        </is>
      </c>
      <c r="F3" s="238" t="inlineStr">
        <is>
          <t>進度狀態</t>
        </is>
      </c>
      <c r="G3" s="238" t="inlineStr">
        <is>
          <t>進度(%)</t>
        </is>
      </c>
      <c r="H3" s="238" t="inlineStr">
        <is>
          <t>交付至（SharePoint）</t>
        </is>
      </c>
      <c r="I3" s="238" t="inlineStr">
        <is>
          <t>交付路徑</t>
        </is>
      </c>
      <c r="J3" s="238" t="inlineStr">
        <is>
          <t>備註</t>
        </is>
      </c>
      <c r="K3" s="239" t="inlineStr">
        <is>
          <t>關鍵判斷</t>
        </is>
      </c>
      <c r="L3" s="239" t="inlineStr">
        <is>
          <t>否決AI記錄</t>
        </is>
      </c>
    </row>
    <row r="4" ht="18" customHeight="1" s="195">
      <c r="A4" s="240" t="inlineStr">
        <is>
          <t xml:space="preserve">  T2</t>
        </is>
      </c>
      <c r="B4" s="241" t="n"/>
      <c r="C4" s="241" t="n"/>
      <c r="D4" s="241" t="n"/>
      <c r="E4" s="241" t="n"/>
      <c r="F4" s="241" t="n"/>
      <c r="G4" s="241" t="n"/>
      <c r="H4" s="241" t="n"/>
      <c r="I4" s="241" t="n"/>
      <c r="J4" s="241" t="n"/>
    </row>
    <row r="5" ht="27.75" customHeight="1" s="195">
      <c r="A5" s="242" t="n"/>
      <c r="B5" s="243" t="inlineStr">
        <is>
          <t>T2</t>
        </is>
      </c>
      <c r="C5" s="242" t="inlineStr">
        <is>
          <t>主持討論並確認戰略方向</t>
        </is>
      </c>
      <c r="D5" s="242" t="inlineStr">
        <is>
          <t>2026-08-31</t>
        </is>
      </c>
      <c r="E5" s="242" t="n"/>
      <c r="F5" s="242" t="n"/>
      <c r="G5" s="244" t="n">
        <v>30</v>
      </c>
      <c r="H5" s="242" t="inlineStr">
        <is>
          <t>驗證三部/專案計畫</t>
        </is>
      </c>
      <c r="I5" s="242" t="n"/>
      <c r="J5" s="242" t="inlineStr">
        <is>
          <t>等待POC結束後啟動</t>
        </is>
      </c>
      <c r="K5" s="245" t="n"/>
      <c r="L5" s="245" t="n"/>
    </row>
    <row r="6" ht="18" customHeight="1" s="195">
      <c r="A6" s="240" t="inlineStr">
        <is>
          <t xml:space="preserve">  T2-A1</t>
        </is>
      </c>
      <c r="B6" s="241" t="n"/>
      <c r="C6" s="241" t="n"/>
      <c r="D6" s="241" t="n"/>
      <c r="E6" s="241" t="n"/>
      <c r="F6" s="241" t="n"/>
      <c r="G6" s="241" t="n"/>
      <c r="H6" s="241" t="n"/>
      <c r="I6" s="241" t="n"/>
      <c r="J6" s="241" t="n"/>
    </row>
    <row r="7" ht="27.75" customHeight="1" s="195">
      <c r="A7" s="242" t="n"/>
      <c r="B7" s="243" t="inlineStr">
        <is>
          <t>T2-A1</t>
        </is>
      </c>
      <c r="C7" s="242" t="inlineStr">
        <is>
          <t>評估環境架構規劃</t>
        </is>
      </c>
      <c r="D7" s="242" t="inlineStr">
        <is>
          <t>2026-08-20</t>
        </is>
      </c>
      <c r="E7" s="242" t="n"/>
      <c r="F7" s="242" t="n"/>
      <c r="G7" s="244" t="n">
        <v>0</v>
      </c>
      <c r="H7" s="242" t="inlineStr">
        <is>
          <t>驗證三部/專案計畫</t>
        </is>
      </c>
      <c r="I7" s="242" t="n"/>
      <c r="J7" s="242" t="inlineStr">
        <is>
          <t>T2 戰略討論</t>
        </is>
      </c>
      <c r="K7" s="245" t="n"/>
      <c r="L7" s="245" t="n"/>
    </row>
    <row r="8" ht="18" customHeight="1" s="195">
      <c r="A8" s="240" t="inlineStr">
        <is>
          <t xml:space="preserve">  T2-B1</t>
        </is>
      </c>
      <c r="B8" s="241" t="n"/>
      <c r="C8" s="241" t="n"/>
      <c r="D8" s="241" t="n"/>
      <c r="E8" s="241" t="n"/>
      <c r="F8" s="241" t="n"/>
      <c r="G8" s="241" t="n"/>
      <c r="H8" s="241" t="n"/>
      <c r="I8" s="241" t="n"/>
      <c r="J8" s="241" t="n"/>
    </row>
    <row r="9" ht="27.75" customHeight="1" s="195">
      <c r="A9" s="242" t="n"/>
      <c r="B9" s="243" t="inlineStr">
        <is>
          <t>T2-B1</t>
        </is>
      </c>
      <c r="C9" s="242" t="inlineStr">
        <is>
          <t>決策流程設計</t>
        </is>
      </c>
      <c r="D9" s="242" t="inlineStr">
        <is>
          <t>2026-08-22</t>
        </is>
      </c>
      <c r="E9" s="242" t="n"/>
      <c r="F9" s="242" t="n"/>
      <c r="G9" s="244" t="n">
        <v>0</v>
      </c>
      <c r="H9" s="242" t="inlineStr">
        <is>
          <t>驗證三部/專案計畫</t>
        </is>
      </c>
      <c r="I9" s="242" t="n"/>
      <c r="J9" s="242" t="inlineStr">
        <is>
          <t>T2 戰略討論</t>
        </is>
      </c>
      <c r="K9" s="245" t="n"/>
      <c r="L9" s="245" t="n"/>
    </row>
    <row r="10" ht="18" customHeight="1" s="195">
      <c r="A10" s="240" t="inlineStr">
        <is>
          <t xml:space="preserve">  T2-K1</t>
        </is>
      </c>
      <c r="B10" s="241" t="n"/>
      <c r="C10" s="241" t="n"/>
      <c r="D10" s="241" t="n"/>
      <c r="E10" s="241" t="n"/>
      <c r="F10" s="241" t="n"/>
      <c r="G10" s="241" t="n"/>
      <c r="H10" s="241" t="n"/>
      <c r="I10" s="241" t="n"/>
      <c r="J10" s="241" t="n"/>
    </row>
    <row r="11" ht="27.75" customHeight="1" s="195">
      <c r="A11" s="242" t="n"/>
      <c r="B11" s="243" t="inlineStr">
        <is>
          <t>T2-K1</t>
        </is>
      </c>
      <c r="C11" s="242" t="inlineStr">
        <is>
          <t>利害關係人需求訪談</t>
        </is>
      </c>
      <c r="D11" s="242" t="inlineStr">
        <is>
          <t>2026-08-15</t>
        </is>
      </c>
      <c r="E11" s="242" t="n"/>
      <c r="F11" s="242" t="n"/>
      <c r="G11" s="244" t="n">
        <v>0</v>
      </c>
      <c r="H11" s="242" t="inlineStr">
        <is>
          <t>驗證三部/專案計畫</t>
        </is>
      </c>
      <c r="I11" s="242" t="n"/>
      <c r="J11" s="242" t="inlineStr">
        <is>
          <t>T2 需求訪談</t>
        </is>
      </c>
      <c r="K11" s="245" t="n"/>
      <c r="L11" s="245" t="n"/>
    </row>
    <row r="12" ht="18" customHeight="1" s="195">
      <c r="A12" s="240" t="inlineStr">
        <is>
          <t xml:space="preserve">  T10</t>
        </is>
      </c>
      <c r="B12" s="241" t="n"/>
      <c r="C12" s="241" t="n"/>
      <c r="D12" s="241" t="n"/>
      <c r="E12" s="241" t="n"/>
      <c r="F12" s="241" t="n"/>
      <c r="G12" s="241" t="n"/>
      <c r="H12" s="241" t="n"/>
      <c r="I12" s="241" t="n"/>
      <c r="J12" s="241" t="n"/>
    </row>
    <row r="13" ht="27.75" customHeight="1" s="195">
      <c r="A13" s="242" t="n"/>
      <c r="B13" s="243" t="inlineStr">
        <is>
          <t>T10</t>
        </is>
      </c>
      <c r="C13" s="242" t="inlineStr">
        <is>
          <t>部門AI導入策略與資源協調</t>
        </is>
      </c>
      <c r="D13" s="242" t="inlineStr">
        <is>
          <t>2026-09-30</t>
        </is>
      </c>
      <c r="E13" s="242" t="n"/>
      <c r="F13" s="242" t="n"/>
      <c r="G13" s="244" t="n">
        <v>0</v>
      </c>
      <c r="H13" s="242" t="inlineStr">
        <is>
          <t>驗證三部/教育訓練</t>
        </is>
      </c>
      <c r="I13" s="242" t="n"/>
      <c r="J13" s="242" t="inlineStr">
        <is>
          <t>T10 教育訓練統籌</t>
        </is>
      </c>
      <c r="K13" s="245" t="n"/>
      <c r="L13" s="245" t="n"/>
    </row>
    <row r="15" ht="18" customHeight="1" s="195">
      <c r="A15" s="246" t="inlineStr">
        <is>
          <t xml:space="preserve">  【額外任務 - 不在專案開發計劃範圍，請自行新增】</t>
        </is>
      </c>
      <c r="B15" s="247" t="n"/>
      <c r="C15" s="247" t="n"/>
      <c r="D15" s="247" t="n"/>
      <c r="E15" s="247" t="n"/>
      <c r="F15" s="247" t="n"/>
      <c r="G15" s="247" t="n"/>
      <c r="H15" s="247" t="n"/>
      <c r="I15" s="247" t="n"/>
      <c r="J15" s="248" t="n"/>
    </row>
    <row r="16" ht="21.75" customHeight="1" s="195">
      <c r="A16" s="249" t="n"/>
      <c r="B16" s="250" t="inlineStr">
        <is>
          <t>E01</t>
        </is>
      </c>
      <c r="C16" s="249" t="n"/>
      <c r="D16" s="249" t="n"/>
      <c r="E16" s="249" t="n"/>
      <c r="F16" s="249" t="n"/>
      <c r="G16" s="251" t="n">
        <v>0</v>
      </c>
      <c r="H16" s="249" t="n"/>
      <c r="I16" s="249" t="n"/>
      <c r="J16" s="249" t="n"/>
      <c r="K16" s="245" t="n"/>
      <c r="L16" s="245" t="n"/>
    </row>
    <row r="17" ht="21.75" customHeight="1" s="195">
      <c r="A17" s="249" t="n"/>
      <c r="B17" s="250" t="inlineStr">
        <is>
          <t>E02</t>
        </is>
      </c>
      <c r="C17" s="249" t="n"/>
      <c r="D17" s="249" t="n"/>
      <c r="E17" s="249" t="n"/>
      <c r="F17" s="249" t="n"/>
      <c r="G17" s="251" t="n">
        <v>0</v>
      </c>
      <c r="H17" s="249" t="n"/>
      <c r="I17" s="249" t="n"/>
      <c r="J17" s="249" t="n"/>
      <c r="K17" s="245" t="n"/>
      <c r="L17" s="245" t="n"/>
    </row>
    <row r="18" ht="21.75" customHeight="1" s="195">
      <c r="A18" s="249" t="n"/>
      <c r="B18" s="250" t="inlineStr">
        <is>
          <t>E03</t>
        </is>
      </c>
      <c r="C18" s="249" t="n"/>
      <c r="D18" s="249" t="n"/>
      <c r="E18" s="249" t="n"/>
      <c r="F18" s="249" t="n"/>
      <c r="G18" s="251" t="n">
        <v>0</v>
      </c>
      <c r="H18" s="249" t="n"/>
      <c r="I18" s="249" t="n"/>
      <c r="J18" s="249" t="n"/>
      <c r="K18" s="245" t="n"/>
      <c r="L18" s="245" t="n"/>
    </row>
    <row r="19" ht="21.75" customHeight="1" s="195">
      <c r="A19" s="249" t="n"/>
      <c r="B19" s="250" t="inlineStr">
        <is>
          <t>E04</t>
        </is>
      </c>
      <c r="C19" s="249" t="n"/>
      <c r="D19" s="249" t="n"/>
      <c r="E19" s="249" t="n"/>
      <c r="F19" s="249" t="n"/>
      <c r="G19" s="251" t="n">
        <v>0</v>
      </c>
      <c r="H19" s="249" t="n"/>
      <c r="I19" s="249" t="n"/>
      <c r="J19" s="249" t="n"/>
      <c r="K19" s="245" t="n"/>
      <c r="L19" s="245" t="n"/>
    </row>
    <row r="20" ht="21.75" customHeight="1" s="195">
      <c r="A20" s="249" t="n"/>
      <c r="B20" s="250" t="inlineStr">
        <is>
          <t>E05</t>
        </is>
      </c>
      <c r="C20" s="249" t="n"/>
      <c r="D20" s="249" t="n"/>
      <c r="E20" s="249" t="n"/>
      <c r="F20" s="249" t="n"/>
      <c r="G20" s="251" t="n">
        <v>0</v>
      </c>
      <c r="H20" s="249" t="n"/>
      <c r="I20" s="249" t="n"/>
      <c r="J20" s="249" t="n"/>
      <c r="K20" s="245" t="n"/>
      <c r="L20" s="245" t="n"/>
    </row>
    <row r="21" ht="21.75" customHeight="1" s="195">
      <c r="A21" s="249" t="n"/>
      <c r="B21" s="250" t="inlineStr">
        <is>
          <t>E06</t>
        </is>
      </c>
      <c r="C21" s="249" t="n"/>
      <c r="D21" s="249" t="n"/>
      <c r="E21" s="249" t="n"/>
      <c r="F21" s="249" t="n"/>
      <c r="G21" s="251" t="n">
        <v>0</v>
      </c>
      <c r="H21" s="249" t="n"/>
      <c r="I21" s="249" t="n"/>
      <c r="J21" s="249" t="n"/>
      <c r="K21" s="245" t="n"/>
      <c r="L21" s="245" t="n"/>
    </row>
    <row r="22" ht="21.75" customHeight="1" s="195">
      <c r="A22" s="249" t="n"/>
      <c r="B22" s="250" t="inlineStr">
        <is>
          <t>E07</t>
        </is>
      </c>
      <c r="C22" s="249" t="n"/>
      <c r="D22" s="249" t="n"/>
      <c r="E22" s="249" t="n"/>
      <c r="F22" s="249" t="n"/>
      <c r="G22" s="251" t="n">
        <v>0</v>
      </c>
      <c r="H22" s="249" t="n"/>
      <c r="I22" s="249" t="n"/>
      <c r="J22" s="249" t="n"/>
      <c r="K22" s="245" t="n"/>
      <c r="L22" s="245" t="n"/>
    </row>
    <row r="23" ht="21.75" customHeight="1" s="195">
      <c r="A23" s="249" t="n"/>
      <c r="B23" s="250" t="inlineStr">
        <is>
          <t>E08</t>
        </is>
      </c>
      <c r="C23" s="249" t="n"/>
      <c r="D23" s="249" t="n"/>
      <c r="E23" s="249" t="n"/>
      <c r="F23" s="249" t="n"/>
      <c r="G23" s="251" t="n">
        <v>0</v>
      </c>
      <c r="H23" s="249" t="n"/>
      <c r="I23" s="249" t="n"/>
      <c r="J23" s="249" t="n"/>
      <c r="K23" s="245" t="n"/>
      <c r="L23" s="245" t="n"/>
    </row>
  </sheetData>
  <mergeCells count="3">
    <mergeCell ref="A1:J1"/>
    <mergeCell ref="A15:J15"/>
    <mergeCell ref="A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O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" zeroHeight="0" outlineLevelRow="0"/>
  <cols>
    <col width="12" customWidth="1" style="194" min="1" max="1"/>
    <col width="18" customWidth="1" style="194" min="2" max="2"/>
    <col width="10" customWidth="1" style="194" min="3" max="3"/>
    <col width="26" customWidth="1" style="194" min="4" max="4"/>
    <col width="38" customWidth="1" style="194" min="5" max="5"/>
    <col width="26" customWidth="1" style="194" min="6" max="6"/>
    <col width="10" customWidth="1" style="194" min="7" max="7"/>
    <col width="13" customWidth="1" style="194" min="8" max="9"/>
    <col width="22" customWidth="1" style="194" min="10" max="10"/>
    <col width="9" customWidth="1" style="194" min="11" max="11"/>
    <col width="36" customWidth="1" style="194" min="12" max="12"/>
    <col width="35" customWidth="1" style="194" min="13" max="14"/>
    <col width="30" customWidth="1" style="194" min="15" max="15"/>
  </cols>
  <sheetData>
    <row r="1" ht="24" customHeight="1" s="195">
      <c r="A1" s="257" t="inlineStr">
        <is>
          <t>T1開發計劃｜Agent開發進度更新</t>
        </is>
      </c>
      <c r="B1" s="258" t="n"/>
      <c r="C1" s="258" t="n"/>
      <c r="D1" s="258" t="n"/>
      <c r="E1" s="258" t="n"/>
      <c r="F1" s="258" t="n"/>
      <c r="G1" s="258" t="n"/>
      <c r="H1" s="258" t="n"/>
      <c r="I1" s="258" t="n"/>
      <c r="J1" s="258" t="n"/>
      <c r="K1" s="258" t="n"/>
      <c r="L1" s="259" t="n"/>
    </row>
    <row r="2" ht="15.75" customHeight="1" s="195">
      <c r="A2" s="260" t="inlineStr">
        <is>
          <t>負責人：Anderson, Patty　｜　建立日期：2026-07-31</t>
        </is>
      </c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9" t="n"/>
      <c r="M2" s="261" t="inlineStr">
        <is>
          <t>▸ 請填入實際檔案路徑或 SharePoint 連結</t>
        </is>
      </c>
      <c r="N2" s="237" t="inlineStr">
        <is>
          <t>▸ 本週的關鍵技術判斷？為什麼這樣決定？</t>
        </is>
      </c>
      <c r="O2" s="237" t="inlineStr">
        <is>
          <t>▸ 本週否決過AI的哪個建議？為什麼？</t>
        </is>
      </c>
    </row>
    <row r="3" ht="19.5" customHeight="1" s="195">
      <c r="A3" s="262" t="inlineStr">
        <is>
          <t>階段</t>
        </is>
      </c>
      <c r="B3" s="262" t="inlineStr">
        <is>
          <t>子階段</t>
        </is>
      </c>
      <c r="C3" s="262" t="inlineStr">
        <is>
          <t>任務編號</t>
        </is>
      </c>
      <c r="D3" s="262" t="inlineStr">
        <is>
          <t>任務名稱</t>
        </is>
      </c>
      <c r="E3" s="262" t="inlineStr">
        <is>
          <t>任務說明</t>
        </is>
      </c>
      <c r="F3" s="262" t="inlineStr">
        <is>
          <t>交付產出</t>
        </is>
      </c>
      <c r="G3" s="262" t="inlineStr">
        <is>
          <t>負責人</t>
        </is>
      </c>
      <c r="H3" s="262" t="inlineStr">
        <is>
          <t>預計完成日</t>
        </is>
      </c>
      <c r="I3" s="262" t="inlineStr">
        <is>
          <t>實際完成日</t>
        </is>
      </c>
      <c r="J3" s="262" t="inlineStr">
        <is>
          <t>開發狀態</t>
        </is>
      </c>
      <c r="K3" s="262" t="inlineStr">
        <is>
          <t>進度(%)</t>
        </is>
      </c>
      <c r="L3" s="262" t="inlineStr">
        <is>
          <t>備註</t>
        </is>
      </c>
      <c r="M3" s="238" t="inlineStr">
        <is>
          <t>交付路徑</t>
        </is>
      </c>
      <c r="N3" s="239" t="inlineStr">
        <is>
          <t>關鍵判斷</t>
        </is>
      </c>
      <c r="O3" s="239" t="inlineStr">
        <is>
          <t>否決AI記錄</t>
        </is>
      </c>
    </row>
    <row r="4" ht="18" customHeight="1" s="195">
      <c r="A4" s="246" t="inlineStr">
        <is>
          <t>系統架構設計</t>
        </is>
      </c>
      <c r="B4" s="247" t="n"/>
      <c r="C4" s="247" t="n"/>
      <c r="D4" s="247" t="n"/>
      <c r="E4" s="247" t="n"/>
      <c r="F4" s="247" t="n"/>
      <c r="G4" s="247" t="n"/>
      <c r="H4" s="247" t="n"/>
      <c r="I4" s="247" t="n"/>
      <c r="J4" s="247" t="n"/>
      <c r="K4" s="247" t="n"/>
      <c r="L4" s="248" t="n"/>
    </row>
    <row r="5" ht="39.75" customHeight="1" s="195">
      <c r="A5" s="263" t="inlineStr">
        <is>
          <t>系統架構設計</t>
        </is>
      </c>
      <c r="B5" s="263" t="inlineStr">
        <is>
          <t>架構規劃</t>
        </is>
      </c>
      <c r="C5" s="264" t="inlineStr">
        <is>
          <t>T1-A1</t>
        </is>
      </c>
      <c r="D5" s="265" t="inlineStr">
        <is>
          <t>系統架構規劃</t>
        </is>
      </c>
      <c r="E5" s="266" t="inlineStr">
        <is>
          <t>整體多層Agent架構設計，包含L1-L5分層定義與職責分工</t>
        </is>
      </c>
      <c r="F5" s="266" t="inlineStr">
        <is>
          <t>系統架構圖文件</t>
        </is>
      </c>
      <c r="G5" s="263" t="inlineStr">
        <is>
          <t>Anderson</t>
        </is>
      </c>
      <c r="H5" s="263" t="inlineStr">
        <is>
          <t>2026-08-15</t>
        </is>
      </c>
      <c r="I5" s="267" t="n"/>
      <c r="J5" s="268">
        <f>IF(I5&lt;&gt;"", IF(I5&gt;DATEVALUE(H5),"🔴 逾期 "&amp;(I5-DATEVALUE(H5))&amp;"天", IF(DATEVALUE(H5)&gt;I5,"🟢 提前 "&amp;(DATEVALUE(H5)-I5)&amp;"天","🟡 準時完成")), IF((DATEVALUE(H5)-TODAY())&lt;=3,"🟡 接近截止（"&amp;(DATEVALUE(H5)-TODAY())&amp;"天）", IF(TODAY()&gt;DATEVALUE(H5),"🔴 逾期 "&amp;(TODAY()-DATEVALUE(H5))&amp;"天（未完成）","🟢 " &amp;(DATEVALUE(H5)-TODAY())&amp;"天後到期")))</f>
        <v/>
      </c>
      <c r="K5" s="269" t="n">
        <v>0</v>
      </c>
      <c r="L5" s="263" t="n"/>
      <c r="M5" s="270" t="n"/>
      <c r="N5" s="245" t="n"/>
      <c r="O5" s="245" t="n"/>
    </row>
    <row r="6" ht="39.75" customHeight="1" s="195">
      <c r="A6" s="263" t="inlineStr">
        <is>
          <t>系統架構設計</t>
        </is>
      </c>
      <c r="B6" s="263" t="inlineStr">
        <is>
          <t>架構規劃</t>
        </is>
      </c>
      <c r="C6" s="264" t="inlineStr">
        <is>
          <t>T1-A2</t>
        </is>
      </c>
      <c r="D6" s="265" t="inlineStr">
        <is>
          <t>技術選型評估</t>
        </is>
      </c>
      <c r="E6" s="266" t="inlineStr">
        <is>
          <t>評估Neo4j/Qdrant/對話引擎技術可行性</t>
        </is>
      </c>
      <c r="F6" s="266" t="inlineStr">
        <is>
          <t>技術評估報告</t>
        </is>
      </c>
      <c r="G6" s="263" t="inlineStr">
        <is>
          <t>Anderson</t>
        </is>
      </c>
      <c r="H6" s="263" t="inlineStr">
        <is>
          <t>2026-08-20</t>
        </is>
      </c>
      <c r="I6" s="267" t="n"/>
      <c r="J6" s="268">
        <f>IF(I6&lt;&gt;"", IF(I6&gt;DATEVALUE(H6),"🔴 逾期 "&amp;(I6-DATEVALUE(H6))&amp;"天", IF(DATEVALUE(H6)&gt;I6,"🟢 提前 "&amp;(DATEVALUE(H6)-I6)&amp;"天","🟡 準時完成")), IF((DATEVALUE(H6)-TODAY())&lt;=3,"🟡 接近截止（"&amp;(DATEVALUE(H6)-TODAY())&amp;"天）", IF(TODAY()&gt;DATEVALUE(H6),"🔴 逾期 "&amp;(TODAY()-DATEVALUE(H6))&amp;"天（未完成）","🟢 " &amp;(DATEVALUE(H6)-TODAY())&amp;"天後到期")))</f>
        <v/>
      </c>
      <c r="K6" s="269" t="n">
        <v>0</v>
      </c>
      <c r="L6" s="263" t="n"/>
      <c r="M6" s="270" t="n"/>
      <c r="N6" s="245" t="n"/>
      <c r="O6" s="245" t="n"/>
    </row>
    <row r="7" ht="18" customHeight="1" s="195">
      <c r="A7" s="271" t="inlineStr">
        <is>
          <t>系統流程設計</t>
        </is>
      </c>
      <c r="B7" s="197" t="n"/>
      <c r="C7" s="197" t="n"/>
      <c r="D7" s="197" t="n"/>
      <c r="E7" s="197" t="n"/>
      <c r="F7" s="197" t="n"/>
      <c r="G7" s="197" t="n"/>
      <c r="H7" s="197" t="n"/>
      <c r="I7" s="197" t="n"/>
      <c r="J7" s="197" t="n"/>
      <c r="K7" s="197" t="n"/>
      <c r="L7" s="198" t="n"/>
    </row>
    <row r="8" ht="39.75" customHeight="1" s="195">
      <c r="A8" s="272" t="inlineStr">
        <is>
          <t>系統流程設計</t>
        </is>
      </c>
      <c r="B8" s="272" t="inlineStr">
        <is>
          <t>流程設計</t>
        </is>
      </c>
      <c r="C8" s="273" t="inlineStr">
        <is>
          <t>T1-B1</t>
        </is>
      </c>
      <c r="D8" s="274" t="inlineStr">
        <is>
          <t>對話流程設計</t>
        </is>
      </c>
      <c r="E8" s="275" t="inlineStr">
        <is>
          <t>User→L1→L2→L3/L4/L5流程與路由邏輯</t>
        </is>
      </c>
      <c r="F8" s="275" t="inlineStr">
        <is>
          <t>流程圖文件</t>
        </is>
      </c>
      <c r="G8" s="272" t="inlineStr">
        <is>
          <t>Patty</t>
        </is>
      </c>
      <c r="H8" s="272" t="inlineStr">
        <is>
          <t>2026-08-22</t>
        </is>
      </c>
      <c r="I8" s="267" t="n"/>
      <c r="J8" s="268">
        <f>IF(I8&lt;&gt;"", IF(I8&gt;DATEVALUE(H8),"🔴 逾期 "&amp;(I8-DATEVALUE(H8))&amp;"天", IF(DATEVALUE(H8)&gt;I8,"🟢 提前 "&amp;(DATEVALUE(H8)-I8)&amp;"天","🟡 準時完成")), IF((DATEVALUE(H8)-TODAY())&lt;=3,"🟡 接近截止（"&amp;(DATEVALUE(H8)-TODAY())&amp;"天）", IF(TODAY()&gt;DATEVALUE(H8),"🔴 逾期 "&amp;(TODAY()-DATEVALUE(H8))&amp;"天（未完成）","🟢 " &amp;(DATEVALUE(H8)-TODAY())&amp;"天後到期")))</f>
        <v/>
      </c>
      <c r="K8" s="276" t="n">
        <v>0</v>
      </c>
      <c r="L8" s="272" t="n"/>
      <c r="M8" s="270" t="n"/>
      <c r="N8" s="245" t="n"/>
      <c r="O8" s="245" t="n"/>
    </row>
    <row r="9" ht="39.75" customHeight="1" s="195">
      <c r="A9" s="272" t="inlineStr">
        <is>
          <t>系統流程設計</t>
        </is>
      </c>
      <c r="B9" s="272" t="inlineStr">
        <is>
          <t>流程設計</t>
        </is>
      </c>
      <c r="C9" s="273" t="inlineStr">
        <is>
          <t>T1-B2</t>
        </is>
      </c>
      <c r="D9" s="274" t="inlineStr">
        <is>
          <t>異常處理流程</t>
        </is>
      </c>
      <c r="E9" s="275" t="inlineStr">
        <is>
          <t>L4異常分析與升級流程設計</t>
        </is>
      </c>
      <c r="F9" s="275" t="inlineStr">
        <is>
          <t>異常處理流程圖</t>
        </is>
      </c>
      <c r="G9" s="272" t="inlineStr">
        <is>
          <t>Patty</t>
        </is>
      </c>
      <c r="H9" s="272" t="inlineStr">
        <is>
          <t>2026-08-25</t>
        </is>
      </c>
      <c r="I9" s="267" t="n"/>
      <c r="J9" s="268">
        <f>IF(I9&lt;&gt;"", IF(I9&gt;DATEVALUE(H9),"🔴 逾期 "&amp;(I9-DATEVALUE(H9))&amp;"天", IF(DATEVALUE(H9)&gt;I9,"🟢 提前 "&amp;(DATEVALUE(H9)-I9)&amp;"天","🟡 準時完成")), IF((DATEVALUE(H9)-TODAY())&lt;=3,"🟡 接近截止（"&amp;(DATEVALUE(H9)-TODAY())&amp;"天）", IF(TODAY()&gt;DATEVALUE(H9),"🔴 逾期 "&amp;(TODAY()-DATEVALUE(H9))&amp;"天（未完成）","🟢 " &amp;(DATEVALUE(H9)-TODAY())&amp;"天後到期")))</f>
        <v/>
      </c>
      <c r="K9" s="276" t="n">
        <v>0</v>
      </c>
      <c r="L9" s="272" t="n"/>
      <c r="M9" s="270" t="n"/>
      <c r="N9" s="245" t="n"/>
      <c r="O9" s="245" t="n"/>
    </row>
    <row r="10" ht="18" customHeight="1" s="195">
      <c r="A10" s="277" t="inlineStr">
        <is>
          <t>知識工程與需求訪談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9" t="n"/>
    </row>
    <row r="11" ht="39.75" customHeight="1" s="195">
      <c r="A11" s="263" t="inlineStr">
        <is>
          <t>知識工程與需求訪談</t>
        </is>
      </c>
      <c r="B11" s="263" t="inlineStr">
        <is>
          <t>需求訪談</t>
        </is>
      </c>
      <c r="C11" s="264" t="inlineStr">
        <is>
          <t>T1-K1</t>
        </is>
      </c>
      <c r="D11" s="265" t="inlineStr">
        <is>
          <t>專家訪談規劃</t>
        </is>
      </c>
      <c r="E11" s="266" t="inlineStr">
        <is>
          <t>Matt/Issa設備操作情境訪談</t>
        </is>
      </c>
      <c r="F11" s="266" t="inlineStr">
        <is>
          <t>訪談大綱與問題清單</t>
        </is>
      </c>
      <c r="G11" s="263" t="inlineStr">
        <is>
          <t>Anderson</t>
        </is>
      </c>
      <c r="H11" s="263" t="inlineStr">
        <is>
          <t>2026-08-10</t>
        </is>
      </c>
      <c r="I11" s="267" t="n"/>
      <c r="J11" s="268">
        <f>IF(I11&lt;&gt;"", IF(I11&gt;DATEVALUE(H11),"🔴 逾期 "&amp;(I11-DATEVALUE(H11))&amp;"天", IF(DATEVALUE(H11)&gt;I11,"🟢 提前 "&amp;(DATEVALUE(H11)-I11)&amp;"天","🟡 準時完成")), IF((DATEVALUE(H11)-TODAY())&lt;=3,"🟡 接近截止（"&amp;(DATEVALUE(H11)-TODAY())&amp;"天）", IF(TODAY()&gt;DATEVALUE(H11),"🔴 逾期 "&amp;(TODAY()-DATEVALUE(H11))&amp;"天（未完成）","🟢 " &amp;(DATEVALUE(H11)-TODAY())&amp;"天後到期")))</f>
        <v/>
      </c>
      <c r="K11" s="269" t="n">
        <v>0</v>
      </c>
      <c r="L11" s="263" t="n"/>
      <c r="M11" s="270" t="n"/>
      <c r="N11" s="245" t="n"/>
      <c r="O11" s="245" t="n"/>
    </row>
    <row r="12" ht="39.75" customHeight="1" s="195">
      <c r="A12" s="272" t="inlineStr">
        <is>
          <t>知識工程與需求訪談</t>
        </is>
      </c>
      <c r="B12" s="272" t="inlineStr">
        <is>
          <t>需求訪談</t>
        </is>
      </c>
      <c r="C12" s="273" t="inlineStr">
        <is>
          <t>T1-K2</t>
        </is>
      </c>
      <c r="D12" s="274" t="inlineStr">
        <is>
          <t>設備參數矩陣建立</t>
        </is>
      </c>
      <c r="E12" s="275" t="inlineStr">
        <is>
          <t>Amarisoft/Anritsu設備參數矩陣建立</t>
        </is>
      </c>
      <c r="F12" s="275" t="inlineStr">
        <is>
          <t>設備參數矩陣文件</t>
        </is>
      </c>
      <c r="G12" s="272" t="inlineStr">
        <is>
          <t>Patty</t>
        </is>
      </c>
      <c r="H12" s="272" t="inlineStr">
        <is>
          <t>2026-08-18</t>
        </is>
      </c>
      <c r="I12" s="267" t="n"/>
      <c r="J12" s="268">
        <f>IF(I12&lt;&gt;"", IF(I12&gt;DATEVALUE(H12),"🔴 逾期 "&amp;(I12-DATEVALUE(H12))&amp;"天", IF(DATEVALUE(H12)&gt;I12,"🟢 提前 "&amp;(DATEVALUE(H12)-I12)&amp;"天","🟡 準時完成")), IF((DATEVALUE(H12)-TODAY())&lt;=3,"🟡 接近截止（"&amp;(DATEVALUE(H12)-TODAY())&amp;"天）", IF(TODAY()&gt;DATEVALUE(H12),"🔴 逾期 "&amp;(TODAY()-DATEVALUE(H12))&amp;"天（未完成）","🟢 " &amp;(DATEVALUE(H12)-TODAY())&amp;"天後到期")))</f>
        <v/>
      </c>
      <c r="K12" s="276" t="n">
        <v>0</v>
      </c>
      <c r="L12" s="272" t="n"/>
      <c r="M12" s="270" t="n"/>
      <c r="N12" s="245" t="n"/>
      <c r="O12" s="245" t="n"/>
    </row>
    <row r="13" ht="39.75" customHeight="1" s="195">
      <c r="A13" s="263" t="inlineStr">
        <is>
          <t>知識工程與需求訪談</t>
        </is>
      </c>
      <c r="B13" s="263" t="inlineStr">
        <is>
          <t>需求訪談</t>
        </is>
      </c>
      <c r="C13" s="264" t="inlineStr">
        <is>
          <t>T1-K3</t>
        </is>
      </c>
      <c r="D13" s="265" t="inlineStr">
        <is>
          <t>現有SOP收集與數位化</t>
        </is>
      </c>
      <c r="E13" s="266" t="inlineStr">
        <is>
          <t>收集並數位化現有操作SOP文檔</t>
        </is>
      </c>
      <c r="F13" s="266" t="inlineStr">
        <is>
          <t>數位化SOP文件</t>
        </is>
      </c>
      <c r="G13" s="263" t="inlineStr">
        <is>
          <t>Anderson</t>
        </is>
      </c>
      <c r="H13" s="263" t="inlineStr">
        <is>
          <t>2026-08-25</t>
        </is>
      </c>
      <c r="I13" s="267" t="n"/>
      <c r="J13" s="268">
        <f>IF(I13&lt;&gt;"", IF(I13&gt;DATEVALUE(H13),"🔴 逾期 "&amp;(I13-DATEVALUE(H13))&amp;"天", IF(DATEVALUE(H13)&gt;I13,"🟢 提前 "&amp;(DATEVALUE(H13)-I13)&amp;"天","🟡 準時完成")), IF((DATEVALUE(H13)-TODAY())&lt;=3,"🟡 接近截止（"&amp;(DATEVALUE(H13)-TODAY())&amp;"天）", IF(TODAY()&gt;DATEVALUE(H13),"🔴 逾期 "&amp;(TODAY()-DATEVALUE(H13))&amp;"天（未完成）","🟢 " &amp;(DATEVALUE(H13)-TODAY())&amp;"天後到期")))</f>
        <v/>
      </c>
      <c r="K13" s="269" t="n">
        <v>0</v>
      </c>
      <c r="L13" s="263" t="n"/>
      <c r="M13" s="270" t="n"/>
      <c r="N13" s="245" t="n"/>
      <c r="O13" s="245" t="n"/>
    </row>
    <row r="14" ht="18" customHeight="1" s="195">
      <c r="A14" s="278" t="inlineStr">
        <is>
          <t>開發現迭代任務</t>
        </is>
      </c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9" t="n"/>
    </row>
    <row r="15" ht="39.75" customHeight="1" s="195">
      <c r="A15" s="263" t="inlineStr">
        <is>
          <t>開發現迭代任務</t>
        </is>
      </c>
      <c r="B15" s="263" t="inlineStr">
        <is>
          <t>開發任務</t>
        </is>
      </c>
      <c r="C15" s="264" t="inlineStr">
        <is>
          <t>T1-D1</t>
        </is>
      </c>
      <c r="D15" s="265" t="inlineStr">
        <is>
          <t>L3 Supervisor Agent實作</t>
        </is>
      </c>
      <c r="E15" s="266" t="inlineStr">
        <is>
          <t>L3 Supervisor Agent程式開發與單元測試</t>
        </is>
      </c>
      <c r="F15" s="266" t="inlineStr">
        <is>
          <t>L3 Agent程式碼</t>
        </is>
      </c>
      <c r="G15" s="263" t="inlineStr">
        <is>
          <t>Anderson</t>
        </is>
      </c>
      <c r="H15" s="263" t="inlineStr">
        <is>
          <t>2026-09-05</t>
        </is>
      </c>
      <c r="I15" s="267" t="n"/>
      <c r="J15" s="268">
        <f>IF(I15&lt;&gt;"", IF(I15&gt;DATEVALUE(H15),"🔴 逾期 "&amp;(I15-DATEVALUE(H15))&amp;"天", IF(DATEVALUE(H15)&gt;I15,"🟢 提前 "&amp;(DATEVALUE(H15)-I15)&amp;"天","🟡 準時完成")), IF((DATEVALUE(H15)-TODAY())&lt;=3,"🟡 接近截止（"&amp;(DATEVALUE(H15)-TODAY())&amp;"天）", IF(TODAY()&gt;DATEVALUE(H15),"🔴 逾期 "&amp;(TODAY()-DATEVALUE(H15))&amp;"天（未完成）","🟢 " &amp;(DATEVALUE(H15)-TODAY())&amp;"天後到期")))</f>
        <v/>
      </c>
      <c r="K15" s="269" t="n">
        <v>0</v>
      </c>
      <c r="L15" s="263" t="n"/>
      <c r="M15" s="270" t="n"/>
      <c r="N15" s="245" t="n"/>
      <c r="O15" s="245" t="n"/>
    </row>
    <row r="16" ht="39.75" customHeight="1" s="195">
      <c r="A16" s="263" t="inlineStr">
        <is>
          <t>開發現迭代任務</t>
        </is>
      </c>
      <c r="B16" s="263" t="inlineStr">
        <is>
          <t>開發任務</t>
        </is>
      </c>
      <c r="C16" s="264" t="inlineStr">
        <is>
          <t>T1-D2</t>
        </is>
      </c>
      <c r="D16" s="265" t="inlineStr">
        <is>
          <t>L4異常分析Agent實作</t>
        </is>
      </c>
      <c r="E16" s="266" t="inlineStr">
        <is>
          <t>L4異常分析Agent實作與優化</t>
        </is>
      </c>
      <c r="F16" s="266" t="inlineStr">
        <is>
          <t>L4 Agent程式碼</t>
        </is>
      </c>
      <c r="G16" s="263" t="inlineStr">
        <is>
          <t>Anderson</t>
        </is>
      </c>
      <c r="H16" s="263" t="inlineStr">
        <is>
          <t>2026-09-10</t>
        </is>
      </c>
      <c r="I16" s="267" t="n"/>
      <c r="J16" s="268">
        <f>IF(I16&lt;&gt;"", IF(I16&gt;DATEVALUE(H16),"🔴 逾期 "&amp;(I16-DATEVALUE(H16))&amp;"天", IF(DATEVALUE(H16)&gt;I16,"🟢 提前 "&amp;(DATEVALUE(H16)-I16)&amp;"天","🟡 準時完成")), IF((DATEVALUE(H16)-TODAY())&lt;=3,"🟡 接近截止（"&amp;(DATEVALUE(H16)-TODAY())&amp;"天）", IF(TODAY()&gt;DATEVALUE(H16),"🔴 逾期 "&amp;(TODAY()-DATEVALUE(H16))&amp;"天（未完成）","🟢 " &amp;(DATEVALUE(H16)-TODAY())&amp;"天後到期")))</f>
        <v/>
      </c>
      <c r="K16" s="269" t="n">
        <v>0</v>
      </c>
      <c r="L16" s="263" t="n"/>
      <c r="M16" s="270" t="n"/>
      <c r="N16" s="245" t="n"/>
      <c r="O16" s="245" t="n"/>
    </row>
    <row r="17" ht="39.75" customHeight="1" s="195">
      <c r="A17" s="272" t="inlineStr">
        <is>
          <t>開發現迭代任務</t>
        </is>
      </c>
      <c r="B17" s="272" t="inlineStr">
        <is>
          <t>開發任務</t>
        </is>
      </c>
      <c r="C17" s="273" t="inlineStr">
        <is>
          <t>T1-D3</t>
        </is>
      </c>
      <c r="D17" s="274" t="inlineStr">
        <is>
          <t>Amarisoft設備Agent實作</t>
        </is>
      </c>
      <c r="E17" s="275" t="inlineStr">
        <is>
          <t>Amarisoft設備Agent實作</t>
        </is>
      </c>
      <c r="F17" s="275" t="inlineStr">
        <is>
          <t>Amarisoft Agent程式碼</t>
        </is>
      </c>
      <c r="G17" s="272" t="inlineStr">
        <is>
          <t>Patty</t>
        </is>
      </c>
      <c r="H17" s="272" t="inlineStr">
        <is>
          <t>2026-09-12</t>
        </is>
      </c>
      <c r="I17" s="267" t="n"/>
      <c r="J17" s="268">
        <f>IF(I17&lt;&gt;"", IF(I17&gt;DATEVALUE(H17),"🔴 逾期 "&amp;(I17-DATEVALUE(H17))&amp;"天", IF(DATEVALUE(H17)&gt;I17,"🟢 提前 "&amp;(DATEVALUE(H17)-I17)&amp;"天","🟡 準時完成")), IF((DATEVALUE(H17)-TODAY())&lt;=3,"🟡 接近截止（"&amp;(DATEVALUE(H17)-TODAY())&amp;"天）", IF(TODAY()&gt;DATEVALUE(H17),"🔴 逾期 "&amp;(TODAY()-DATEVALUE(H17))&amp;"天（未完成）","🟢 " &amp;(DATEVALUE(H17)-TODAY())&amp;"天後到期")))</f>
        <v/>
      </c>
      <c r="K17" s="276" t="n">
        <v>0</v>
      </c>
      <c r="L17" s="272" t="n"/>
      <c r="M17" s="270" t="n"/>
      <c r="N17" s="245" t="n"/>
      <c r="O17" s="245" t="n"/>
    </row>
    <row r="18" ht="39.75" customHeight="1" s="195">
      <c r="A18" s="272" t="inlineStr">
        <is>
          <t>開發現迭代任務</t>
        </is>
      </c>
      <c r="B18" s="272" t="inlineStr">
        <is>
          <t>開發任務</t>
        </is>
      </c>
      <c r="C18" s="273" t="inlineStr">
        <is>
          <t>T1-D4</t>
        </is>
      </c>
      <c r="D18" s="274" t="inlineStr">
        <is>
          <t>Anritsu設備Agent實作</t>
        </is>
      </c>
      <c r="E18" s="275" t="inlineStr">
        <is>
          <t>Anritsu設備Agent實作</t>
        </is>
      </c>
      <c r="F18" s="275" t="inlineStr">
        <is>
          <t>Anritsu Agent程式碼</t>
        </is>
      </c>
      <c r="G18" s="272" t="inlineStr">
        <is>
          <t>Patty</t>
        </is>
      </c>
      <c r="H18" s="272" t="inlineStr">
        <is>
          <t>2026-09-15</t>
        </is>
      </c>
      <c r="I18" s="267" t="n"/>
      <c r="J18" s="268">
        <f>IF(I18&lt;&gt;"", IF(I18&gt;DATEVALUE(H18),"🔴 逾期 "&amp;(I18-DATEVALUE(H18))&amp;"天", IF(DATEVALUE(H18)&gt;I18,"🟢 提前 "&amp;(DATEVALUE(H18)-I18)&amp;"天","🟡 準時完成")), IF((DATEVALUE(H18)-TODAY())&lt;=3,"🟡 接近截止（"&amp;(DATEVALUE(H18)-TODAY())&amp;"天）", IF(TODAY()&gt;DATEVALUE(H18),"🔴 逾期 "&amp;(TODAY()-DATEVALUE(H18))&amp;"天（未完成）","🟢 " &amp;(DATEVALUE(H18)-TODAY())&amp;"天後到期")))</f>
        <v/>
      </c>
      <c r="K18" s="276" t="n">
        <v>0</v>
      </c>
      <c r="L18" s="272" t="n"/>
      <c r="M18" s="270" t="n"/>
      <c r="N18" s="245" t="n"/>
      <c r="O18" s="245" t="n"/>
    </row>
    <row r="19" ht="39.75" customHeight="1" s="195">
      <c r="A19" s="263" t="inlineStr">
        <is>
          <t>開發現迭代任務</t>
        </is>
      </c>
      <c r="B19" s="263" t="inlineStr">
        <is>
          <t>開發任務</t>
        </is>
      </c>
      <c r="C19" s="264" t="inlineStr">
        <is>
          <t>T1-D5</t>
        </is>
      </c>
      <c r="D19" s="265" t="inlineStr">
        <is>
          <t>L3~L5串接整合</t>
        </is>
      </c>
      <c r="E19" s="266" t="inlineStr">
        <is>
          <t>L3/L4/L5 Agent系統整合測試</t>
        </is>
      </c>
      <c r="F19" s="266" t="inlineStr">
        <is>
          <t>整合測試報告</t>
        </is>
      </c>
      <c r="G19" s="263" t="inlineStr">
        <is>
          <t>Anderson</t>
        </is>
      </c>
      <c r="H19" s="263" t="inlineStr">
        <is>
          <t>2026-09-20</t>
        </is>
      </c>
      <c r="I19" s="267" t="n"/>
      <c r="J19" s="268">
        <f>IF(I19&lt;&gt;"", IF(I19&gt;DATEVALUE(H19),"🔴 逾期 "&amp;(I19-DATEVALUE(H19))&amp;"天", IF(DATEVALUE(H19)&gt;I19,"🟢 提前 "&amp;(DATEVALUE(H19)-I19)&amp;"天","🟡 準時完成")), IF((DATEVALUE(H19)-TODAY())&lt;=3,"🟡 接近截止（"&amp;(DATEVALUE(H19)-TODAY())&amp;"天）", IF(TODAY()&gt;DATEVALUE(H19),"🔴 逾期 "&amp;(TODAY()-DATEVALUE(H19))&amp;"天（未完成）","🟢 " &amp;(DATEVALUE(H19)-TODAY())&amp;"天後到期")))</f>
        <v/>
      </c>
      <c r="K19" s="269" t="n">
        <v>0</v>
      </c>
      <c r="L19" s="263" t="n"/>
      <c r="M19" s="270" t="n"/>
      <c r="N19" s="245" t="n"/>
      <c r="O19" s="245" t="n"/>
    </row>
    <row r="20" ht="18" customHeight="1" s="195">
      <c r="A20" s="279" t="inlineStr">
        <is>
          <t>系統整合測試</t>
        </is>
      </c>
      <c r="B20" s="247" t="n"/>
      <c r="C20" s="247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80" t="n"/>
    </row>
    <row r="21" ht="39.75" customHeight="1" s="195">
      <c r="A21" s="263" t="inlineStr">
        <is>
          <t>系統整合測試</t>
        </is>
      </c>
      <c r="B21" s="263" t="inlineStr">
        <is>
          <t>測試</t>
        </is>
      </c>
      <c r="C21" s="264" t="inlineStr">
        <is>
          <t>T1-T1</t>
        </is>
      </c>
      <c r="D21" s="265" t="inlineStr">
        <is>
          <t>單元測試</t>
        </is>
      </c>
      <c r="E21" s="266" t="inlineStr">
        <is>
          <t>各模組單元測試</t>
        </is>
      </c>
      <c r="F21" s="266" t="inlineStr">
        <is>
          <t>單元測試報告</t>
        </is>
      </c>
      <c r="G21" s="263" t="inlineStr">
        <is>
          <t>Anderson</t>
        </is>
      </c>
      <c r="H21" s="263" t="inlineStr">
        <is>
          <t>2026-09-22</t>
        </is>
      </c>
      <c r="I21" s="267" t="n"/>
      <c r="J21" s="268">
        <f>IF(I21&lt;&gt;"", IF(I21&gt;DATEVALUE(H21),"🔴 逾期 "&amp;(I21-DATEVALUE(H21))&amp;"天", IF(DATEVALUE(H21)&gt;I21,"🟢 提前 "&amp;(DATEVALUE(H21)-I21)&amp;"天","🟡 準時完成")), IF((DATEVALUE(H21)-TODAY())&lt;=3,"🟡 接近截止（"&amp;(DATEVALUE(H21)-TODAY())&amp;"天）", IF(TODAY()&gt;DATEVALUE(H21),"🔴 逾期 "&amp;(TODAY()-DATEVALUE(H21))&amp;"天（未完成）","🟢 " &amp;(DATEVALUE(H21)-TODAY())&amp;"天後到期")))</f>
        <v/>
      </c>
      <c r="K21" s="269" t="n">
        <v>0</v>
      </c>
      <c r="L21" s="263" t="n"/>
      <c r="M21" s="270" t="n"/>
      <c r="N21" s="245" t="n"/>
      <c r="O21" s="245" t="n"/>
    </row>
    <row r="22" ht="39.75" customHeight="1" s="195">
      <c r="A22" s="272" t="inlineStr">
        <is>
          <t>系統整合測試</t>
        </is>
      </c>
      <c r="B22" s="272" t="inlineStr">
        <is>
          <t>測試</t>
        </is>
      </c>
      <c r="C22" s="273" t="inlineStr">
        <is>
          <t>T1-T2</t>
        </is>
      </c>
      <c r="D22" s="274" t="inlineStr">
        <is>
          <t>整合測試</t>
        </is>
      </c>
      <c r="E22" s="275" t="inlineStr">
        <is>
          <t>跨模組整合測試驗證</t>
        </is>
      </c>
      <c r="F22" s="275" t="inlineStr">
        <is>
          <t>整合測試報告</t>
        </is>
      </c>
      <c r="G22" s="272" t="inlineStr">
        <is>
          <t>Patty</t>
        </is>
      </c>
      <c r="H22" s="272" t="inlineStr">
        <is>
          <t>2026-09-28</t>
        </is>
      </c>
      <c r="I22" s="267" t="n"/>
      <c r="J22" s="268">
        <f>IF(I22&lt;&gt;"", IF(I22&gt;DATEVALUE(H22),"🔴 逾期 "&amp;(I22-DATEVALUE(H22))&amp;"天", IF(DATEVALUE(H22)&gt;I22,"🟢 提前 "&amp;(DATEVALUE(H22)-I22)&amp;"天","🟡 準時完成")), IF((DATEVALUE(H22)-TODAY())&lt;=3,"🟡 接近截止（"&amp;(DATEVALUE(H22)-TODAY())&amp;"天）", IF(TODAY()&gt;DATEVALUE(H22),"🔴 逾期 "&amp;(TODAY()-DATEVALUE(H22))&amp;"天（未完成）","🟢 " &amp;(DATEVALUE(H22)-TODAY())&amp;"天後到期")))</f>
        <v/>
      </c>
      <c r="K22" s="276" t="n">
        <v>0</v>
      </c>
      <c r="L22" s="272" t="n"/>
      <c r="M22" s="270" t="n"/>
      <c r="N22" s="245" t="n"/>
      <c r="O22" s="245" t="n"/>
    </row>
    <row r="23" ht="39.75" customHeight="1" s="195">
      <c r="A23" s="263" t="inlineStr">
        <is>
          <t>系統整合測試</t>
        </is>
      </c>
      <c r="B23" s="263" t="inlineStr">
        <is>
          <t>測試</t>
        </is>
      </c>
      <c r="C23" s="264" t="inlineStr">
        <is>
          <t>T1-T3</t>
        </is>
      </c>
      <c r="D23" s="265" t="inlineStr">
        <is>
          <t>UAT使用者驗收測試</t>
        </is>
      </c>
      <c r="E23" s="266" t="inlineStr">
        <is>
          <t>UAT測試與結果確認</t>
        </is>
      </c>
      <c r="F23" s="266" t="inlineStr">
        <is>
          <t>UAT測試報告</t>
        </is>
      </c>
      <c r="G23" s="263" t="inlineStr">
        <is>
          <t>Anderson</t>
        </is>
      </c>
      <c r="H23" s="263" t="inlineStr">
        <is>
          <t>2026-10-05</t>
        </is>
      </c>
      <c r="I23" s="267" t="n"/>
      <c r="J23" s="268">
        <f>IF(I23&lt;&gt;"", IF(I23&gt;DATEVALUE(H23),"🔴 逾期 "&amp;(I23-DATEVALUE(H23))&amp;"天", IF(DATEVALUE(H23)&gt;I23,"🟢 提前 "&amp;(DATEVALUE(H23)-I23)&amp;"天","🟡 準時完成")), IF((DATEVALUE(H23)-TODAY())&lt;=3,"🟡 接近截止（"&amp;(DATEVALUE(H23)-TODAY())&amp;"天）", IF(TODAY()&gt;DATEVALUE(H23),"🔴 逾期 "&amp;(TODAY()-DATEVALUE(H23))&amp;"天（未完成）","🟢 " &amp;(DATEVALUE(H23)-TODAY())&amp;"天後到期")))</f>
        <v/>
      </c>
      <c r="K23" s="269" t="n">
        <v>0</v>
      </c>
      <c r="L23" s="263" t="n"/>
      <c r="M23" s="270" t="n"/>
      <c r="N23" s="245" t="n"/>
      <c r="O23" s="245" t="n"/>
    </row>
    <row r="24" ht="18" customHeight="1" s="195">
      <c r="A24" s="281" t="inlineStr">
        <is>
          <t>驗收交付標準</t>
        </is>
      </c>
      <c r="B24" s="247" t="n"/>
      <c r="C24" s="247" t="n"/>
      <c r="D24" s="247" t="n"/>
      <c r="E24" s="247" t="n"/>
      <c r="F24" s="247" t="n"/>
      <c r="G24" s="247" t="n"/>
      <c r="H24" s="247" t="n"/>
      <c r="I24" s="247" t="n"/>
      <c r="J24" s="247" t="n"/>
      <c r="K24" s="247" t="n"/>
      <c r="L24" s="248" t="n"/>
    </row>
    <row r="25" ht="39.75" customHeight="1" s="195">
      <c r="A25" s="272" t="inlineStr">
        <is>
          <t>驗收交付標準</t>
        </is>
      </c>
      <c r="B25" s="272" t="inlineStr">
        <is>
          <t>驗收</t>
        </is>
      </c>
      <c r="C25" s="273" t="inlineStr">
        <is>
          <t>T1-V1</t>
        </is>
      </c>
      <c r="D25" s="274" t="inlineStr">
        <is>
          <t>功能驗收</t>
        </is>
      </c>
      <c r="E25" s="275" t="inlineStr">
        <is>
          <t>所有規劃功能符合需求規格</t>
        </is>
      </c>
      <c r="F25" s="275" t="inlineStr">
        <is>
          <t>驗收確認書</t>
        </is>
      </c>
      <c r="G25" s="272" t="inlineStr">
        <is>
          <t>Patty</t>
        </is>
      </c>
      <c r="H25" s="272" t="inlineStr">
        <is>
          <t>2026-10-10</t>
        </is>
      </c>
      <c r="I25" s="267" t="n"/>
      <c r="J25" s="268">
        <f>IF(I25&lt;&gt;"", IF(I25&gt;DATEVALUE(H25),"🔴 逾期 "&amp;(I25-DATEVALUE(H25))&amp;"天", IF(DATEVALUE(H25)&gt;I25,"🟢 提前 "&amp;(DATEVALUE(H25)-I25)&amp;"天","🟡 準時完成")), IF((DATEVALUE(H25)-TODAY())&lt;=3,"🟡 接近截止（"&amp;(DATEVALUE(H25)-TODAY())&amp;"天）", IF(TODAY()&gt;DATEVALUE(H25),"🔴 逾期 "&amp;(TODAY()-DATEVALUE(H25))&amp;"天（未完成）","🟢 " &amp;(DATEVALUE(H25)-TODAY())&amp;"天後到期")))</f>
        <v/>
      </c>
      <c r="K25" s="276" t="n">
        <v>0</v>
      </c>
      <c r="L25" s="272" t="n"/>
      <c r="M25" s="270" t="n"/>
      <c r="N25" s="245" t="n"/>
      <c r="O25" s="245" t="n"/>
    </row>
    <row r="26" ht="39.75" customHeight="1" s="195">
      <c r="A26" s="263" t="inlineStr">
        <is>
          <t>驗收交付標準</t>
        </is>
      </c>
      <c r="B26" s="263" t="inlineStr">
        <is>
          <t>驗收</t>
        </is>
      </c>
      <c r="C26" s="264" t="inlineStr">
        <is>
          <t>T1-V2</t>
        </is>
      </c>
      <c r="D26" s="265" t="inlineStr">
        <is>
          <t>效能驗收</t>
        </is>
      </c>
      <c r="E26" s="266" t="inlineStr">
        <is>
          <t>系統效能符合預定標準</t>
        </is>
      </c>
      <c r="F26" s="266" t="inlineStr">
        <is>
          <t>效能測試報告</t>
        </is>
      </c>
      <c r="G26" s="263" t="inlineStr">
        <is>
          <t>Anderson</t>
        </is>
      </c>
      <c r="H26" s="263" t="inlineStr">
        <is>
          <t>2026-10-12</t>
        </is>
      </c>
      <c r="I26" s="267" t="n"/>
      <c r="J26" s="268">
        <f>IF(I26&lt;&gt;"", IF(I26&gt;DATEVALUE(H26),"🔴 逾期 "&amp;(I26-DATEVALUE(H26))&amp;"天", IF(DATEVALUE(H26)&gt;I26,"🟢 提前 "&amp;(DATEVALUE(H26)-I26)&amp;"天","🟡 準時完成")), IF((DATEVALUE(H26)-TODAY())&lt;=3,"🟡 接近截止（"&amp;(DATEVALUE(H26)-TODAY())&amp;"天）", IF(TODAY()&gt;DATEVALUE(H26),"🔴 逾期 "&amp;(TODAY()-DATEVALUE(H26))&amp;"天（未完成）","🟢 " &amp;(DATEVALUE(H26)-TODAY())&amp;"天後到期")))</f>
        <v/>
      </c>
      <c r="K26" s="269" t="n">
        <v>0</v>
      </c>
      <c r="L26" s="263" t="n"/>
      <c r="M26" s="270" t="n"/>
      <c r="N26" s="245" t="n"/>
      <c r="O26" s="245" t="n"/>
    </row>
    <row r="27" ht="18" customHeight="1" s="195">
      <c r="A27" s="282" t="inlineStr">
        <is>
          <t>文件化與知識傳承</t>
        </is>
      </c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9" t="n"/>
    </row>
    <row r="28" ht="39.75" customHeight="1" s="195">
      <c r="A28" s="272" t="inlineStr">
        <is>
          <t>文件化與知識傳承</t>
        </is>
      </c>
      <c r="B28" s="272" t="inlineStr">
        <is>
          <t>文件編寫</t>
        </is>
      </c>
      <c r="C28" s="273" t="inlineStr">
        <is>
          <t>T1-Doc1</t>
        </is>
      </c>
      <c r="D28" s="274" t="inlineStr">
        <is>
          <t>設備操作SOP編寫</t>
        </is>
      </c>
      <c r="E28" s="275" t="inlineStr">
        <is>
          <t>設備操作標準程序手冊</t>
        </is>
      </c>
      <c r="F28" s="275" t="inlineStr">
        <is>
          <t>設備操作SOP文件</t>
        </is>
      </c>
      <c r="G28" s="272" t="inlineStr">
        <is>
          <t>Patty</t>
        </is>
      </c>
      <c r="H28" s="272" t="inlineStr">
        <is>
          <t>2026-10-15</t>
        </is>
      </c>
      <c r="I28" s="267" t="n"/>
      <c r="J28" s="268">
        <f>IF(I28&lt;&gt;"", IF(I28&gt;DATEVALUE(H28),"🔴 逾期 "&amp;(I28-DATEVALUE(H28))&amp;"天", IF(DATEVALUE(H28)&gt;I28,"🟢 提前 "&amp;(DATEVALUE(H28)-I28)&amp;"天","🟡 準時完成")), IF((DATEVALUE(H28)-TODAY())&lt;=3,"🟡 接近截止（"&amp;(DATEVALUE(H28)-TODAY())&amp;"天）", IF(TODAY()&gt;DATEVALUE(H28),"🔴 逾期 "&amp;(TODAY()-DATEVALUE(H28))&amp;"天（未完成）","🟢 " &amp;(DATEVALUE(H28)-TODAY())&amp;"天後到期")))</f>
        <v/>
      </c>
      <c r="K28" s="276" t="n">
        <v>0</v>
      </c>
      <c r="L28" s="272" t="n"/>
      <c r="M28" s="270" t="n"/>
      <c r="N28" s="245" t="n"/>
      <c r="O28" s="245" t="n"/>
    </row>
    <row r="29" ht="39.75" customHeight="1" s="195">
      <c r="A29" s="263" t="inlineStr">
        <is>
          <t>文件化與知識傳承</t>
        </is>
      </c>
      <c r="B29" s="263" t="inlineStr">
        <is>
          <t>文件編寫</t>
        </is>
      </c>
      <c r="C29" s="264" t="inlineStr">
        <is>
          <t>T1-Doc2</t>
        </is>
      </c>
      <c r="D29" s="265" t="inlineStr">
        <is>
          <t>Agent使用手冊</t>
        </is>
      </c>
      <c r="E29" s="266" t="inlineStr">
        <is>
          <t>各層級Agent使用手冊編寫</t>
        </is>
      </c>
      <c r="F29" s="266" t="inlineStr">
        <is>
          <t>Agent使用手冊</t>
        </is>
      </c>
      <c r="G29" s="263" t="inlineStr">
        <is>
          <t>Anderson</t>
        </is>
      </c>
      <c r="H29" s="263" t="inlineStr">
        <is>
          <t>2026-10-18</t>
        </is>
      </c>
      <c r="I29" s="267" t="n"/>
      <c r="J29" s="268">
        <f>IF(I29&lt;&gt;"", IF(I29&gt;DATEVALUE(H29),"🔴 逾期 "&amp;(I29-DATEVALUE(H29))&amp;"天", IF(DATEVALUE(H29)&gt;I29,"🟢 提前 "&amp;(DATEVALUE(H29)-I29)&amp;"天","🟡 準時完成")), IF((DATEVALUE(H29)-TODAY())&lt;=3,"🟡 接近截止（"&amp;(DATEVALUE(H29)-TODAY())&amp;"天）", IF(TODAY()&gt;DATEVALUE(H29),"🔴 逾期 "&amp;(TODAY()-DATEVALUE(H29))&amp;"天（未完成）","🟢 " &amp;(DATEVALUE(H29)-TODAY())&amp;"天後到期")))</f>
        <v/>
      </c>
      <c r="K29" s="269" t="n">
        <v>0</v>
      </c>
      <c r="L29" s="263" t="n"/>
      <c r="M29" s="270" t="n"/>
      <c r="N29" s="245" t="n"/>
      <c r="O29" s="245" t="n"/>
    </row>
    <row r="30" ht="39.75" customHeight="1" s="195">
      <c r="A30" s="263" t="inlineStr">
        <is>
          <t>文件化與知識傳承</t>
        </is>
      </c>
      <c r="B30" s="263" t="inlineStr">
        <is>
          <t>知識庫建置</t>
        </is>
      </c>
      <c r="C30" s="264" t="inlineStr">
        <is>
          <t>T1-Doc3</t>
        </is>
      </c>
      <c r="D30" s="265" t="inlineStr">
        <is>
          <t>經驗知識庫建置</t>
        </is>
      </c>
      <c r="E30" s="266" t="inlineStr">
        <is>
          <t>Neo4j經驗知識庫建置與資料遷移</t>
        </is>
      </c>
      <c r="F30" s="266" t="inlineStr">
        <is>
          <t>Neo4j知識庫</t>
        </is>
      </c>
      <c r="G30" s="263" t="inlineStr">
        <is>
          <t>Anderson</t>
        </is>
      </c>
      <c r="H30" s="263" t="inlineStr">
        <is>
          <t>2026-10-25</t>
        </is>
      </c>
      <c r="I30" s="267" t="n"/>
      <c r="J30" s="268">
        <f>IF(I30&lt;&gt;"", IF(I30&gt;DATEVALUE(H30),"🔴 逾期 "&amp;(I30-DATEVALUE(H30))&amp;"天", IF(DATEVALUE(H30)&gt;I30,"🟢 提前 "&amp;(DATEVALUE(H30)-I30)&amp;"天","🟡 準時完成")), IF((DATEVALUE(H30)-TODAY())&lt;=3,"🟡 接近截止（"&amp;(DATEVALUE(H30)-TODAY())&amp;"天）", IF(TODAY()&gt;DATEVALUE(H30),"🔴 逾期 "&amp;(TODAY()-DATEVALUE(H30))&amp;"天（未完成）","🟢 " &amp;(DATEVALUE(H30)-TODAY())&amp;"天後到期")))</f>
        <v/>
      </c>
      <c r="K30" s="269" t="n">
        <v>0</v>
      </c>
      <c r="L30" s="263" t="n"/>
      <c r="M30" s="270" t="n"/>
      <c r="N30" s="245" t="n"/>
      <c r="O30" s="245" t="n"/>
    </row>
  </sheetData>
  <mergeCells count="9">
    <mergeCell ref="A20:L20"/>
    <mergeCell ref="A24:L24"/>
    <mergeCell ref="A2:L2"/>
    <mergeCell ref="A10:L10"/>
    <mergeCell ref="A7:L7"/>
    <mergeCell ref="A1:L1"/>
    <mergeCell ref="A14:L14"/>
    <mergeCell ref="A27:L27"/>
    <mergeCell ref="A4:L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O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12" customWidth="1" style="194" min="1" max="1"/>
    <col width="18" customWidth="1" style="194" min="2" max="2"/>
    <col width="10" customWidth="1" style="194" min="3" max="3"/>
    <col width="26" customWidth="1" style="194" min="4" max="4"/>
    <col width="38" customWidth="1" style="194" min="5" max="5"/>
    <col width="26" customWidth="1" style="194" min="6" max="6"/>
    <col width="10" customWidth="1" style="194" min="7" max="7"/>
    <col width="13" customWidth="1" style="194" min="8" max="9"/>
    <col width="22" customWidth="1" style="194" min="10" max="10"/>
    <col width="9" customWidth="1" style="194" min="11" max="11"/>
    <col width="36" customWidth="1" style="194" min="12" max="12"/>
    <col width="35" customWidth="1" style="194" min="13" max="14"/>
    <col width="30" customWidth="1" style="194" min="15" max="15"/>
  </cols>
  <sheetData>
    <row r="1" ht="24" customHeight="1" s="195">
      <c r="A1" s="283" t="inlineStr">
        <is>
          <t>T1開發計劃｜Anderson：KM優化與Sub2API建置管理</t>
        </is>
      </c>
    </row>
    <row r="2" ht="15.75" customHeight="1" s="195">
      <c r="A2" s="284" t="inlineStr">
        <is>
          <t>負責人：Anderson　｜　計畫基準：2026-08-10　｜　本週：2026-W35（08/24～08/28）　｜　依據：AI KM v2.6與既有驗證紀錄</t>
        </is>
      </c>
      <c r="M2" s="261" t="inlineStr">
        <is>
          <t>▸ 請填入實際檔案路徑或 SharePoint 連結</t>
        </is>
      </c>
      <c r="N2" s="237" t="inlineStr">
        <is>
          <t>▸ 本週的關鍵技術判斷？為什麼這樣決定？</t>
        </is>
      </c>
      <c r="O2" s="237" t="inlineStr">
        <is>
          <t>▸ 本週否決過AI的哪個建議？為什麼？</t>
        </is>
      </c>
    </row>
    <row r="3" ht="19.5" customHeight="1" s="195">
      <c r="A3" s="262" t="inlineStr">
        <is>
          <t>階段</t>
        </is>
      </c>
      <c r="B3" s="262" t="inlineStr">
        <is>
          <t>子階段</t>
        </is>
      </c>
      <c r="C3" s="262" t="inlineStr">
        <is>
          <t>任務編號</t>
        </is>
      </c>
      <c r="D3" s="262" t="inlineStr">
        <is>
          <t>任務名稱</t>
        </is>
      </c>
      <c r="E3" s="262" t="inlineStr">
        <is>
          <t>任務說明</t>
        </is>
      </c>
      <c r="F3" s="262" t="inlineStr">
        <is>
          <t>交付產出</t>
        </is>
      </c>
      <c r="G3" s="262" t="inlineStr">
        <is>
          <t>負責人</t>
        </is>
      </c>
      <c r="H3" s="262" t="inlineStr">
        <is>
          <t>預計完成日</t>
        </is>
      </c>
      <c r="I3" s="262" t="inlineStr">
        <is>
          <t>實際完成日</t>
        </is>
      </c>
      <c r="J3" s="262" t="inlineStr">
        <is>
          <t>開發狀態</t>
        </is>
      </c>
      <c r="K3" s="262" t="inlineStr">
        <is>
          <t>進度(%)</t>
        </is>
      </c>
      <c r="L3" s="262" t="inlineStr">
        <is>
          <t>備註</t>
        </is>
      </c>
      <c r="M3" s="238" t="inlineStr">
        <is>
          <t>交付路徑</t>
        </is>
      </c>
      <c r="N3" s="239" t="inlineStr">
        <is>
          <t>關鍵判斷</t>
        </is>
      </c>
      <c r="O3" s="239" t="inlineStr">
        <is>
          <t>否決AI記錄</t>
        </is>
      </c>
    </row>
    <row r="4" ht="22.5" customHeight="1" s="195">
      <c r="A4" s="285" t="inlineStr">
        <is>
          <t>KM優化｜本週規劃與基準</t>
        </is>
      </c>
      <c r="B4" s="197" t="n"/>
      <c r="C4" s="197" t="n"/>
      <c r="D4" s="197" t="n"/>
      <c r="E4" s="197" t="n"/>
      <c r="F4" s="197" t="n"/>
      <c r="G4" s="197" t="n"/>
      <c r="H4" s="197" t="n"/>
      <c r="I4" s="197" t="n"/>
      <c r="J4" s="197" t="n"/>
      <c r="K4" s="197" t="n"/>
      <c r="L4" s="198" t="n"/>
    </row>
    <row r="5" ht="81.75" customHeight="1" s="195">
      <c r="A5" s="286" t="inlineStr">
        <is>
          <t>KM優化</t>
        </is>
      </c>
      <c r="B5" s="286" t="inlineStr">
        <is>
          <t>規劃基準</t>
        </is>
      </c>
      <c r="C5" s="287" t="inlineStr">
        <is>
          <t>T1-KM-01</t>
        </is>
      </c>
      <c r="D5" s="288" t="inlineStr">
        <is>
          <t>v2.6範圍與責任校正</t>
        </is>
      </c>
      <c r="E5" s="286" t="inlineStr">
        <is>
          <t>確認Phase 1 MVP、Owner、前置依賴及12～16週排程；本週所有新增開發均歸屬KM優化。</t>
        </is>
      </c>
      <c r="F5" s="286" t="inlineStr">
        <is>
          <t>v2.6基準與差異評估</t>
        </is>
      </c>
      <c r="G5" s="289" t="inlineStr">
        <is>
          <t>Anderson</t>
        </is>
      </c>
      <c r="H5" s="290" t="n">
        <v>46245</v>
      </c>
      <c r="I5" s="291" t="n">
        <v>46245</v>
      </c>
      <c r="J5" s="292">
        <f>IF(I5&lt;&gt;"",IF(I5&gt;H5,"逾期 "&amp;(I5-H5)&amp;"天",IF(H5&gt;I5,"提前 "&amp;(H5-I5)&amp;"天","準時完成")),IF(TODAY()&gt;H5,"逾期 "&amp;(TODAY()-H5)&amp;"天（未完成）",IF((H5-TODAY())&lt;=3,"接近截止（"&amp;(H5-TODAY())&amp;"天）",(H5-TODAY())&amp;"天後到期")))</f>
        <v/>
      </c>
      <c r="K5" s="293" t="n">
        <v>100</v>
      </c>
      <c r="L5" s="286" t="inlineStr">
        <is>
          <t>本週完成；CSIT Web／DB Schema／Workflow及商業邏輯由Patty負責。</t>
        </is>
      </c>
      <c r="M5" s="294" t="inlineStr">
        <is>
          <t>01_AI_KM_Phase規劃_v2.6.xlsx；docs/km-modernization/06-v2.6-anderson-scope.md</t>
        </is>
      </c>
      <c r="N5" s="245" t="inlineStr">
        <is>
          <t>以v2.6為唯一規劃基準，保留WP0/WP1歷史並以證據重新歸類。</t>
        </is>
      </c>
      <c r="O5" s="245" t="inlineStr">
        <is>
          <t>否決沿用舊Phase 0命名或缺證據宣稱完成。</t>
        </is>
      </c>
    </row>
    <row r="6" ht="81.75" customHeight="1" s="195">
      <c r="A6" s="286" t="inlineStr">
        <is>
          <t>KM優化</t>
        </is>
      </c>
      <c r="B6" s="286" t="inlineStr">
        <is>
          <t>WP0</t>
        </is>
      </c>
      <c r="C6" s="287" t="inlineStr">
        <is>
          <t>T1-KM-02</t>
        </is>
      </c>
      <c r="D6" s="288" t="inlineStr">
        <is>
          <t>WP0 FastAPI Contract正式化</t>
        </is>
      </c>
      <c r="E6" s="286" t="inlineStr">
        <is>
          <t>新增v1 health/version、統一error envelope與Trace ID，保留Portal、chat、search、report、ingest與A2A相容。</t>
        </is>
      </c>
      <c r="F6" s="286" t="inlineStr">
        <is>
          <t>WP0程式、測試與部署證據</t>
        </is>
      </c>
      <c r="G6" s="289" t="inlineStr">
        <is>
          <t>Anderson</t>
        </is>
      </c>
      <c r="H6" s="290" t="n">
        <v>46248</v>
      </c>
      <c r="I6" s="291" t="n">
        <v>46261</v>
      </c>
      <c r="J6" s="292">
        <f>IF(I6&lt;&gt;"",IF(I6&gt;H6,"逾期 "&amp;(I6-H6)&amp;"天",IF(H6&gt;I6,"提前 "&amp;(H6-I6)&amp;"天","準時完成")),IF(TODAY()&gt;H6,"逾期 "&amp;(TODAY()-H6)&amp;"天（未完成）",IF((H6-TODAY())&lt;=3,"接近截止（"&amp;(H6-TODAY())&amp;"天）",(H6-TODAY())&amp;"天後到期")))</f>
        <v/>
      </c>
      <c r="K6" s="293" t="n">
        <v>100</v>
      </c>
      <c r="L6" s="286" t="inlineStr">
        <is>
          <t>WP0 Production Acceptance與Browser Evidence均PASS；WP0=100% Final Closed。PR #5 delivery attribution保留。</t>
        </is>
      </c>
      <c r="M6" s="294" t="inlineStr">
        <is>
          <t>GitHub agent/wp01-production-rollout；WP0 evidence／CI</t>
        </is>
      </c>
      <c r="N6" s="245" t="inlineStr">
        <is>
          <t>採additive contract與legacy compatibility，避免一次性破壞。</t>
        </is>
      </c>
      <c r="O6" s="245" t="inlineStr">
        <is>
          <t>否決直接移除或改名既有API。</t>
        </is>
      </c>
    </row>
    <row r="7" ht="22.5" customHeight="1" s="195">
      <c r="A7" s="295" t="inlineStr">
        <is>
          <t>KM優化｜WP0／WP1可靠性與部署</t>
        </is>
      </c>
      <c r="B7" s="197" t="n"/>
      <c r="C7" s="197" t="n"/>
      <c r="D7" s="197" t="n"/>
      <c r="E7" s="197" t="n"/>
      <c r="F7" s="197" t="n"/>
      <c r="G7" s="197" t="n"/>
      <c r="H7" s="197" t="n"/>
      <c r="I7" s="197" t="n"/>
      <c r="J7" s="197" t="n"/>
      <c r="K7" s="197" t="n"/>
      <c r="L7" s="198" t="n"/>
    </row>
    <row r="8" ht="81.75" customHeight="1" s="195">
      <c r="A8" s="296" t="inlineStr">
        <is>
          <t>KM優化</t>
        </is>
      </c>
      <c r="B8" s="296" t="inlineStr">
        <is>
          <t>WP1</t>
        </is>
      </c>
      <c r="C8" s="297" t="inlineStr">
        <is>
          <t>T1-KM-03</t>
        </is>
      </c>
      <c r="D8" s="298" t="inlineStr">
        <is>
          <t>WP1 Job可靠性與回退正式化</t>
        </is>
      </c>
      <c r="E8" s="296" t="inlineStr">
        <is>
          <t>完成Docker／Redis／Celery設定、queue分流、retry／trace／idempotency、pre-WP01備份及production rollback。</t>
        </is>
      </c>
      <c r="F8" s="296" t="inlineStr">
        <is>
          <t>WP1程式、90 tests、shadow／production回退證據</t>
        </is>
      </c>
      <c r="G8" s="299" t="inlineStr">
        <is>
          <t>Anderson</t>
        </is>
      </c>
      <c r="H8" s="300" t="n">
        <v>46255</v>
      </c>
      <c r="I8" s="291" t="n">
        <v>46261</v>
      </c>
      <c r="J8" s="292">
        <f>IF(I8&lt;&gt;"",IF(I8&gt;H8,"逾期 "&amp;(I8-H8)&amp;"天",IF(H8&gt;I8,"提前 "&amp;(H8-I8)&amp;"天","準時完成")),IF(TODAY()&gt;H8,"逾期 "&amp;(TODAY()-H8)&amp;"天（未完成）",IF((H8-TODAY())&lt;=3,"接近截止（"&amp;(H8-TODAY())&amp;"天）",(H8-TODAY())&amp;"天後到期")))</f>
        <v/>
      </c>
      <c r="K8" s="301" t="n">
        <v>100</v>
      </c>
      <c r="L8" s="296" t="inlineStr">
        <is>
          <t>WP1=100% Final Closed；canonical integration與Production Acceptance已由主管接受。後續nginx activation屬新的production review，不改closure reporting。</t>
        </is>
      </c>
      <c r="M8" s="294" t="inlineStr">
        <is>
          <t>docs/pre-wp01-deployment-record-20260811.md；GitHub agent/wp01-production-rollout</t>
        </is>
      </c>
      <c r="N8" s="245" t="inlineStr">
        <is>
          <t>先備份及shadow回退，再切換真實系統；故障時先回退再修正。</t>
        </is>
      </c>
      <c r="O8" s="245" t="inlineStr">
        <is>
          <t>否決無checkpoint或未演練rollback就部署。</t>
        </is>
      </c>
    </row>
    <row r="9" ht="81.75" customHeight="1" s="195">
      <c r="A9" s="296" t="inlineStr">
        <is>
          <t>KM優化</t>
        </is>
      </c>
      <c r="B9" s="296" t="inlineStr">
        <is>
          <t>維運工具</t>
        </is>
      </c>
      <c r="C9" s="297" t="inlineStr">
        <is>
          <t>T1-KM-04</t>
        </is>
      </c>
      <c r="D9" s="298" t="inlineStr">
        <is>
          <t>restart_kb生命週期安全重構</t>
        </is>
      </c>
      <c r="E9" s="296" t="inlineStr">
        <is>
          <t>拆分status／restart／deploy；加入env preflight、任務drain、WP0/WP1 Gate、candidate tag與失敗回退。</t>
        </is>
      </c>
      <c r="F9" s="296" t="inlineStr">
        <is>
          <t>安全腳本、8 tests、runbook與GitHub commit</t>
        </is>
      </c>
      <c r="G9" s="299" t="inlineStr">
        <is>
          <t>Anderson</t>
        </is>
      </c>
      <c r="H9" s="300" t="n">
        <v>46248</v>
      </c>
      <c r="I9" s="291" t="n">
        <v>46261</v>
      </c>
      <c r="J9" s="292">
        <f>IF(I9&lt;&gt;"",IF(I9&gt;H9,"逾期 "&amp;(I9-H9)&amp;"天",IF(H9&gt;I9,"提前 "&amp;(H9-I9)&amp;"天","準時完成")),IF(TODAY()&gt;H9,"逾期 "&amp;(TODAY()-H9)&amp;"天（未完成）",IF((H9-TODAY())&lt;=3,"接近截止（"&amp;(H9-TODAY())&amp;"天）",(H9-TODAY())&amp;"天後到期")))</f>
        <v/>
      </c>
      <c r="K9" s="301" t="n">
        <v>100</v>
      </c>
      <c r="L9" s="296" t="inlineStr">
        <is>
          <t>restart_kb pinned deployment tooling與nginx remediation alignment完成；PR #27 activation review仍待主管核准，未執行production reload。</t>
        </is>
      </c>
      <c r="M9" s="294" t="inlineStr">
        <is>
          <t>restart_kb.sh；docs/wp01-lifecycle-runbook.md；commit b33e3983</t>
        </is>
      </c>
      <c r="N9" s="245" t="inlineStr">
        <is>
          <t>無參數只讀；restart不碰資料服務；deploy須checkpoint與確認碼。</t>
        </is>
      </c>
      <c r="O9" s="245" t="inlineStr">
        <is>
          <t>否決把重建、重啟與部署混在同一個無確認流程。</t>
        </is>
      </c>
    </row>
    <row r="10" ht="22.5" customHeight="1" s="195">
      <c r="A10" s="302" t="inlineStr">
        <is>
          <t>KM優化｜下週工作與前置條件</t>
        </is>
      </c>
      <c r="B10" s="197" t="n"/>
      <c r="C10" s="197" t="n"/>
      <c r="D10" s="197" t="n"/>
      <c r="E10" s="197" t="n"/>
      <c r="F10" s="197" t="n"/>
      <c r="G10" s="197" t="n"/>
      <c r="H10" s="197" t="n"/>
      <c r="I10" s="197" t="n"/>
      <c r="J10" s="197" t="n"/>
      <c r="K10" s="197" t="n"/>
      <c r="L10" s="198" t="n"/>
    </row>
    <row r="11" ht="81.75" customHeight="1" s="195">
      <c r="A11" s="286" t="inlineStr">
        <is>
          <t>KM優化</t>
        </is>
      </c>
      <c r="B11" s="286" t="inlineStr">
        <is>
          <t>下週驗收</t>
        </is>
      </c>
      <c r="C11" s="287" t="inlineStr">
        <is>
          <t>T1-KM-05</t>
        </is>
      </c>
      <c r="D11" s="288" t="inlineStr">
        <is>
          <t>WP0／WP1 PR Review與Merge Gate</t>
        </is>
      </c>
      <c r="E11" s="286" t="inlineStr">
        <is>
          <t>補齊rollout PR、Review、CI、durable evidence、文件與回滾驗收，依證據關閉WP。</t>
        </is>
      </c>
      <c r="F11" s="286" t="inlineStr">
        <is>
          <t>PR／CI／Review／Gate checklist</t>
        </is>
      </c>
      <c r="G11" s="289" t="inlineStr">
        <is>
          <t>Anderson</t>
        </is>
      </c>
      <c r="H11" s="290" t="n">
        <v>46255</v>
      </c>
      <c r="I11" s="291" t="n">
        <v>46261</v>
      </c>
      <c r="J11" s="292">
        <f>IF(I11&lt;&gt;"",IF(I11&gt;H11,"逾期 "&amp;(I11-H11)&amp;"天",IF(H11&gt;I11,"提前 "&amp;(H11-I11)&amp;"天","準時完成")),IF(TODAY()&gt;H11,"逾期 "&amp;(TODAY()-H11)&amp;"天（未完成）",IF((H11-TODAY())&lt;=3,"接近截止（"&amp;(H11-TODAY())&amp;"天）",(H11-TODAY())&amp;"天後到期")))</f>
        <v/>
      </c>
      <c r="K11" s="293" t="n">
        <v>100</v>
      </c>
      <c r="L11" s="286" t="inlineStr">
        <is>
          <t>WP0/WP1 closure、governance與historical PR disposition已完成；PR #27為後續runtime activation review，保持Draft/Open。</t>
        </is>
      </c>
      <c r="M11" s="294" t="inlineStr">
        <is>
          <t>預計：GitHub PR與Actions evidence</t>
        </is>
      </c>
      <c r="N11" s="245" t="inlineStr">
        <is>
          <t>把程式完成、測試通過、部署完成與正式驗收分開管理。</t>
        </is>
      </c>
      <c r="O11" s="245" t="inlineStr">
        <is>
          <t>不以本機或production smoke取代PR Review。</t>
        </is>
      </c>
    </row>
    <row r="12" ht="81.75" customHeight="1" s="195">
      <c r="A12" s="296" t="inlineStr">
        <is>
          <t>KM優化</t>
        </is>
      </c>
      <c r="B12" s="296" t="inlineStr">
        <is>
          <t>下週驗收</t>
        </is>
      </c>
      <c r="C12" s="297" t="inlineStr">
        <is>
          <t>T1-KM-06</t>
        </is>
      </c>
      <c r="D12" s="298" t="inlineStr">
        <is>
          <t>restart／deploy shadow演練</t>
        </is>
      </c>
      <c r="E12" s="296" t="inlineStr">
        <is>
          <t>以隔離stack驗證安全restart、candidate failure、前端恢復與application rollback，不觸碰正式資料。</t>
        </is>
      </c>
      <c r="F12" s="296" t="inlineStr">
        <is>
          <t>shadow演練紀錄與RTO</t>
        </is>
      </c>
      <c r="G12" s="299" t="inlineStr">
        <is>
          <t>Anderson</t>
        </is>
      </c>
      <c r="H12" s="300" t="n">
        <v>46255</v>
      </c>
      <c r="I12" s="291" t="n">
        <v>46255</v>
      </c>
      <c r="J12" s="292">
        <f>IF(I12&lt;&gt;"",IF(I12&gt;H12,"逾期 "&amp;(I12-H12)&amp;"天",IF(H12&gt;I12,"提前 "&amp;(H12-I12)&amp;"天","準時完成")),IF(TODAY()&gt;H12,"逾期 "&amp;(TODAY()-H12)&amp;"天（未完成）",IF((H12-TODAY())&lt;=3,"接近截止（"&amp;(H12-TODAY())&amp;"天）",(H12-TODAY())&amp;"天後到期")))</f>
        <v/>
      </c>
      <c r="K12" s="301" t="n">
        <v>100</v>
      </c>
      <c r="L12" s="296" t="inlineStr">
        <is>
          <t>shadow restart／candidate failure／application rollback演練已通過；正式維護窗口仍待核准。</t>
        </is>
      </c>
      <c r="M12" s="294" t="inlineStr">
        <is>
          <t>預計：$HOME/kb-pre-wp01-drills／runbook evidence</t>
        </is>
      </c>
      <c r="N12" s="245" t="inlineStr">
        <is>
          <t>失敗注入與回退必須走和正式環境相同的script路徑。</t>
        </is>
      </c>
      <c r="O12" s="245" t="inlineStr">
        <is>
          <t>否決直接在production測試--deploy。</t>
        </is>
      </c>
    </row>
    <row r="13" ht="81.75" customHeight="1" s="195">
      <c r="A13" s="286" t="inlineStr">
        <is>
          <t>KM優化</t>
        </is>
      </c>
      <c r="B13" s="286" t="inlineStr">
        <is>
          <t>下週前置</t>
        </is>
      </c>
      <c r="C13" s="287" t="inlineStr">
        <is>
          <t>T1-KM-07</t>
        </is>
      </c>
      <c r="D13" s="288" t="inlineStr">
        <is>
          <t>CSIT API Contract與Fake Adapter盤點</t>
        </is>
      </c>
      <c r="E13" s="286" t="inlineStr">
        <is>
          <t>整理Request／Response、權限、狀態與錯誤碼；依核准Contract規劃AI KM Client／Fake Adapter。</t>
        </is>
      </c>
      <c r="F13" s="286" t="inlineStr">
        <is>
          <t>Contract需求清單與Adapter測試案例</t>
        </is>
      </c>
      <c r="G13" s="289" t="inlineStr">
        <is>
          <t>Anderson</t>
        </is>
      </c>
      <c r="H13" s="290" t="n">
        <v>46267</v>
      </c>
      <c r="I13" s="291" t="n"/>
      <c r="J13" s="292">
        <f>IF(I13&lt;&gt;"",IF(I13&gt;H13,"逾期 "&amp;(I13-H13)&amp;"天",IF(H13&gt;I13,"提前 "&amp;(H13-I13)&amp;"天","準時完成")),IF(TODAY()&gt;H13,"逾期 "&amp;(TODAY()-H13)&amp;"天（未完成）",IF((H13-TODAY())&lt;=3,"接近截止（"&amp;(H13-TODAY())&amp;"天）",(H13-TODAY())&amp;"天後到期")))</f>
        <v/>
      </c>
      <c r="K13" s="293" t="n">
        <v>0</v>
      </c>
      <c r="L13" s="286" t="inlineStr">
        <is>
          <t>下週開始前置盤點；Patty提供正式CSIT Contract。</t>
        </is>
      </c>
      <c r="M13" s="294" t="inlineStr">
        <is>
          <t>預計：docs/km-modernization／contract evidence</t>
        </is>
      </c>
      <c r="N13" s="245" t="inlineStr">
        <is>
          <t>跨系統以Contract隔離，Anderson不修改CSIT內部程式。</t>
        </is>
      </c>
      <c r="O13" s="245" t="inlineStr">
        <is>
          <t>否決AI KM直連CSIT DB或自行推測Schema。</t>
        </is>
      </c>
    </row>
    <row r="14" ht="22.5" customHeight="1" s="195">
      <c r="A14" s="271" t="inlineStr">
        <is>
          <t>KM優化｜Phase 1後續排程</t>
        </is>
      </c>
      <c r="B14" s="197" t="n"/>
      <c r="C14" s="197" t="n"/>
      <c r="D14" s="197" t="n"/>
      <c r="E14" s="197" t="n"/>
      <c r="F14" s="197" t="n"/>
      <c r="G14" s="197" t="n"/>
      <c r="H14" s="197" t="n"/>
      <c r="I14" s="197" t="n"/>
      <c r="J14" s="197" t="n"/>
      <c r="K14" s="197" t="n"/>
      <c r="L14" s="198" t="n"/>
    </row>
    <row r="15" ht="81.75" customHeight="1" s="195">
      <c r="A15" s="286" t="inlineStr">
        <is>
          <t>KM優化</t>
        </is>
      </c>
      <c r="B15" s="286" t="inlineStr">
        <is>
          <t>Phase 1</t>
        </is>
      </c>
      <c r="C15" s="287" t="inlineStr">
        <is>
          <t>T1-KM-08</t>
        </is>
      </c>
      <c r="D15" s="288" t="inlineStr">
        <is>
          <t>Excel Report Parser／Schema Validation</t>
        </is>
      </c>
      <c r="E15" s="286" t="inlineStr">
        <is>
          <t>依正式欄位Schema解析與拒絕錯誤資料，錯誤需可追蹤。</t>
        </is>
      </c>
      <c r="F15" s="286" t="inlineStr">
        <is>
          <t>Parser／Validator與Unit Test</t>
        </is>
      </c>
      <c r="G15" s="289" t="inlineStr">
        <is>
          <t>Anderson</t>
        </is>
      </c>
      <c r="H15" s="290" t="n">
        <v>46324</v>
      </c>
      <c r="I15" s="291" t="n"/>
      <c r="J15" s="292">
        <f>IF(I15&lt;&gt;"",IF(I15&gt;H15,"逾期 "&amp;(I15-H15)&amp;"天",IF(H15&gt;I15,"提前 "&amp;(H15-I15)&amp;"天","準時完成")),IF(TODAY()&gt;H15,"逾期 "&amp;(TODAY()-H15)&amp;"天（未完成）",IF((H15-TODAY())&lt;=3,"接近截止（"&amp;(H15-TODAY())&amp;"天）",(H15-TODAY())&amp;"天後到期")))</f>
        <v/>
      </c>
      <c r="K15" s="293" t="n">
        <v>0</v>
      </c>
      <c r="L15" s="286" t="inlineStr">
        <is>
          <t>依v2.6排程；前置為正式報告欄位Schema。</t>
        </is>
      </c>
      <c r="M15" s="294" t="inlineStr">
        <is>
          <t>預計：parser／validation modules</t>
        </is>
      </c>
      <c r="N15" s="245" t="inlineStr">
        <is>
          <t>固定程式處理型別與規則，不讓LLM補造正式欄位。</t>
        </is>
      </c>
      <c r="O15" s="245" t="inlineStr">
        <is>
          <t>不在Schema未核准前承諾完成。</t>
        </is>
      </c>
    </row>
    <row r="16" ht="81.75" customHeight="1" s="195">
      <c r="A16" s="286" t="inlineStr">
        <is>
          <t>KM優化</t>
        </is>
      </c>
      <c r="B16" s="286" t="inlineStr">
        <is>
          <t>Phase 1</t>
        </is>
      </c>
      <c r="C16" s="287" t="inlineStr">
        <is>
          <t>T1-KM-09</t>
        </is>
      </c>
      <c r="D16" s="288" t="inlineStr">
        <is>
          <t>MarkItDown／Chunk／Embedding正式化</t>
        </is>
      </c>
      <c r="E16" s="286" t="inlineStr">
        <is>
          <t>整理既有POC、禁止整份文件單一chunk、保留來源並支援重跑。</t>
        </is>
      </c>
      <c r="F16" s="286" t="inlineStr">
        <is>
          <t>RAG pipeline與Unit Test</t>
        </is>
      </c>
      <c r="G16" s="289" t="inlineStr">
        <is>
          <t>Anderson</t>
        </is>
      </c>
      <c r="H16" s="290" t="n">
        <v>46335</v>
      </c>
      <c r="I16" s="291" t="n"/>
      <c r="J16" s="292">
        <f>IF(I16&lt;&gt;"",IF(I16&gt;H16,"逾期 "&amp;(I16-H16)&amp;"天",IF(H16&gt;I16,"提前 "&amp;(H16-I16)&amp;"天","準時完成")),IF(TODAY()&gt;H16,"逾期 "&amp;(TODAY()-H16)&amp;"天（未完成）",IF((H16-TODAY())&lt;=3,"接近截止（"&amp;(H16-TODAY())&amp;"天）",(H16-TODAY())&amp;"天後到期")))</f>
        <v/>
      </c>
      <c r="K16" s="293" t="n">
        <v>0</v>
      </c>
      <c r="L16" s="286" t="inlineStr">
        <is>
          <t>依v2.6排程；沿用現有POC後正式化。</t>
        </is>
      </c>
      <c r="M16" s="294" t="inlineStr">
        <is>
          <t>預計：RAG／chunk evidence</t>
        </is>
      </c>
      <c r="N16" s="245" t="inlineStr">
        <is>
          <t>先沿用可用POC，再以最低正式規格收斂。</t>
        </is>
      </c>
      <c r="O16" s="245" t="inlineStr">
        <is>
          <t>否決Phase 1同時重做完整Document Intelligence。</t>
        </is>
      </c>
    </row>
    <row r="17" ht="81.75" customHeight="1" s="195">
      <c r="A17" s="296" t="inlineStr">
        <is>
          <t>KM優化</t>
        </is>
      </c>
      <c r="B17" s="296" t="inlineStr">
        <is>
          <t>Phase 1</t>
        </is>
      </c>
      <c r="C17" s="297" t="inlineStr">
        <is>
          <t>T1-KM-10</t>
        </is>
      </c>
      <c r="D17" s="298" t="inlineStr">
        <is>
          <t>Qdrant基本向量搜尋正式化</t>
        </is>
      </c>
      <c r="E17" s="296" t="inlineStr">
        <is>
          <t>依Payload／Chunk／Filter／Version／ACL最低規格完成upsert、search與重跑去重。</t>
        </is>
      </c>
      <c r="F17" s="296" t="inlineStr">
        <is>
          <t>Qdrant collection／search tests</t>
        </is>
      </c>
      <c r="G17" s="299" t="inlineStr">
        <is>
          <t>Anderson</t>
        </is>
      </c>
      <c r="H17" s="300" t="n">
        <v>46344</v>
      </c>
      <c r="I17" s="291" t="n"/>
      <c r="J17" s="292">
        <f>IF(I17&lt;&gt;"",IF(I17&gt;H17,"逾期 "&amp;(I17-H17)&amp;"天",IF(H17&gt;I17,"提前 "&amp;(H17-I17)&amp;"天","準時完成")),IF(TODAY()&gt;H17,"逾期 "&amp;(TODAY()-H17)&amp;"天（未完成）",IF((H17-TODAY())&lt;=3,"接近截止（"&amp;(H17-TODAY())&amp;"天）",(H17-TODAY())&amp;"天後到期")))</f>
        <v/>
      </c>
      <c r="K17" s="301" t="n">
        <v>0</v>
      </c>
      <c r="L17" s="296" t="inlineStr">
        <is>
          <t>依v2.6排程；前置為最低Knowledge Schema。</t>
        </is>
      </c>
      <c r="M17" s="294" t="inlineStr">
        <is>
          <t>預計：Qdrant evidence</t>
        </is>
      </c>
      <c r="N17" s="245" t="inlineStr">
        <is>
          <t>Draft或無權限資料不可被正式查詢。</t>
        </is>
      </c>
      <c r="O17" s="245" t="inlineStr">
        <is>
          <t>不先改collection再補Schema。</t>
        </is>
      </c>
    </row>
    <row r="18" ht="81.75" customHeight="1" s="195">
      <c r="A18" s="296" t="inlineStr">
        <is>
          <t>KM優化</t>
        </is>
      </c>
      <c r="B18" s="296" t="inlineStr">
        <is>
          <t>Phase 1</t>
        </is>
      </c>
      <c r="C18" s="297" t="inlineStr">
        <is>
          <t>T1-KM-11</t>
        </is>
      </c>
      <c r="D18" s="298" t="inlineStr">
        <is>
          <t>Neo4j基本GraphRAG正式化</t>
        </is>
      </c>
      <c r="E18" s="296" t="inlineStr">
        <is>
          <t>依最低Ontology、Node、Relationship與Source規則實作MERGE及查詢。</t>
        </is>
      </c>
      <c r="F18" s="296" t="inlineStr">
        <is>
          <t>GraphRAG／Cypher／重跑測試</t>
        </is>
      </c>
      <c r="G18" s="299" t="inlineStr">
        <is>
          <t>Anderson</t>
        </is>
      </c>
      <c r="H18" s="300" t="n">
        <v>46353</v>
      </c>
      <c r="I18" s="291" t="n"/>
      <c r="J18" s="292">
        <f>IF(I18&lt;&gt;"",IF(I18&gt;H18,"逾期 "&amp;(I18-H18)&amp;"天",IF(H18&gt;I18,"提前 "&amp;(H18-I18)&amp;"天","準時完成")),IF(TODAY()&gt;H18,"逾期 "&amp;(TODAY()-H18)&amp;"天（未完成）",IF((H18-TODAY())&lt;=3,"接近截止（"&amp;(H18-TODAY())&amp;"天）",(H18-TODAY())&amp;"天後到期")))</f>
        <v/>
      </c>
      <c r="K18" s="301" t="n">
        <v>0</v>
      </c>
      <c r="L18" s="296" t="inlineStr">
        <is>
          <t>依v2.6排程；前置為Ontology與Source規格。</t>
        </is>
      </c>
      <c r="M18" s="294" t="inlineStr">
        <is>
          <t>預計：Neo4j evidence</t>
        </is>
      </c>
      <c r="N18" s="245" t="inlineStr">
        <is>
          <t>實體關係固定且可追溯，不把整篇文章當知識節點。</t>
        </is>
      </c>
      <c r="O18" s="245" t="inlineStr">
        <is>
          <t>不在Ontology未定義前自由產生Graph schema。</t>
        </is>
      </c>
    </row>
    <row r="19" ht="81.75" customHeight="1" s="195">
      <c r="A19" s="286" t="inlineStr">
        <is>
          <t>KM優化</t>
        </is>
      </c>
      <c r="B19" s="286" t="inlineStr">
        <is>
          <t>Phase 1</t>
        </is>
      </c>
      <c r="C19" s="287" t="inlineStr">
        <is>
          <t>T1-KM-12</t>
        </is>
      </c>
      <c r="D19" s="288" t="inlineStr">
        <is>
          <t>TimescaleDB／Portal／Phase 1總驗收</t>
        </is>
      </c>
      <c r="E19" s="286" t="inlineStr">
        <is>
          <t>12/8完成時序基礎、12/31完成Portal，2027/1/14完成Unit／Integration／Acceptance／Golden Test。</t>
        </is>
      </c>
      <c r="F19" s="286" t="inlineStr">
        <is>
          <t>TimescaleDB、Portal與Phase 1驗收證據</t>
        </is>
      </c>
      <c r="G19" s="289" t="inlineStr">
        <is>
          <t>Anderson</t>
        </is>
      </c>
      <c r="H19" s="290" t="n">
        <v>46401</v>
      </c>
      <c r="I19" s="291" t="n"/>
      <c r="J19" s="292">
        <f>IF(I19&lt;&gt;"",IF(I19&gt;H19,"逾期 "&amp;(I19-H19)&amp;"天",IF(H19&gt;I19,"提前 "&amp;(H19-I19)&amp;"天","準時完成")),IF(TODAY()&gt;H19,"逾期 "&amp;(TODAY()-H19)&amp;"天（未完成）",IF((H19-TODAY())&lt;=3,"接近截止（"&amp;(H19-TODAY())&amp;"天）",(H19-TODAY())&amp;"天後到期")))</f>
        <v/>
      </c>
      <c r="K19" s="293" t="n">
        <v>0</v>
      </c>
      <c r="L19" s="286" t="inlineStr">
        <is>
          <t>里程碑：TimescaleDB 12/8；Portal 12/31；總驗收2027/1/14。</t>
        </is>
      </c>
      <c r="M19" s="294" t="inlineStr">
        <is>
          <t>預計：Phase 1 gate evidence</t>
        </is>
      </c>
      <c r="N19" s="245" t="inlineStr">
        <is>
          <t>依前置依賴分段交付，Phase 1整體12～16週。</t>
        </is>
      </c>
      <c r="O19" s="245" t="inlineStr">
        <is>
          <t>不把尚未開始的後續模組填入虛構進度。</t>
        </is>
      </c>
    </row>
    <row r="20" ht="22.5" customHeight="1" s="195">
      <c r="A20" s="303" t="inlineStr">
        <is>
          <t>Sub2API｜既有建置成果</t>
        </is>
      </c>
      <c r="B20" s="197" t="n"/>
      <c r="C20" s="197" t="n"/>
      <c r="D20" s="197" t="n"/>
      <c r="E20" s="197" t="n"/>
      <c r="F20" s="197" t="n"/>
      <c r="G20" s="197" t="n"/>
      <c r="H20" s="197" t="n"/>
      <c r="I20" s="197" t="n"/>
      <c r="J20" s="197" t="n"/>
      <c r="K20" s="197" t="n"/>
      <c r="L20" s="198" t="n"/>
    </row>
    <row r="21" ht="81.75" customHeight="1" s="195">
      <c r="A21" s="286" t="inlineStr">
        <is>
          <t>Sub2API</t>
        </is>
      </c>
      <c r="B21" s="286" t="inlineStr">
        <is>
          <t>既有建置</t>
        </is>
      </c>
      <c r="C21" s="287" t="inlineStr">
        <is>
          <t>T1-S2A-01</t>
        </is>
      </c>
      <c r="D21" s="288" t="inlineStr">
        <is>
          <t>隔離部署與模型路由</t>
        </is>
      </c>
      <c r="E21" s="286" t="inlineStr">
        <is>
          <t>完成Sub2API隔離部署、Test_Local群組、Ollama模型同步及外部路由。</t>
        </is>
      </c>
      <c r="F21" s="286" t="inlineStr">
        <is>
          <t>部署與模型清單</t>
        </is>
      </c>
      <c r="G21" s="289" t="inlineStr">
        <is>
          <t>Anderson</t>
        </is>
      </c>
      <c r="H21" s="290" t="n">
        <v>46237</v>
      </c>
      <c r="I21" s="291" t="n">
        <v>46237</v>
      </c>
      <c r="J21" s="292">
        <f>IF(I21&lt;&gt;"",IF(I21&gt;H21,"逾期 "&amp;(I21-H21)&amp;"天",IF(H21&gt;I21,"提前 "&amp;(H21-I21)&amp;"天","準時完成")),IF(TODAY()&gt;H21,"逾期 "&amp;(TODAY()-H21)&amp;"天（未完成）",IF((H21-TODAY())&lt;=3,"接近截止（"&amp;(H21-TODAY())&amp;"天）",(H21-TODAY())&amp;"天後到期")))</f>
        <v/>
      </c>
      <c r="K21" s="293" t="n">
        <v>100</v>
      </c>
      <c r="L21" s="286" t="inlineStr">
        <is>
          <t>既有完成，非本週新增開發。</t>
        </is>
      </c>
      <c r="M21" s="294" t="inlineStr">
        <is>
          <t>Sub2API部署紀錄；Test_Local／Ollama</t>
        </is>
      </c>
      <c r="N21" s="245" t="inlineStr">
        <is>
          <t>以群組、渠道與Key分離使用情境。</t>
        </is>
      </c>
      <c r="O21" s="245" t="inlineStr">
        <is>
          <t>否決硬編碼正式帳密或Token。</t>
        </is>
      </c>
    </row>
    <row r="22" ht="81.75" customHeight="1" s="195">
      <c r="A22" s="296" t="inlineStr">
        <is>
          <t>Sub2API</t>
        </is>
      </c>
      <c r="B22" s="296" t="inlineStr">
        <is>
          <t>既有建置</t>
        </is>
      </c>
      <c r="C22" s="297" t="inlineStr">
        <is>
          <t>T1-S2A-02</t>
        </is>
      </c>
      <c r="D22" s="298" t="inlineStr">
        <is>
          <t>OpenAI渠道與監控情境</t>
        </is>
      </c>
      <c r="E22" s="296" t="inlineStr">
        <is>
          <t>完成openAI_wifisit01→WifiSit01_DA40渠道，建立gpt-5.4／gpt-5.4-mini監控情境。</t>
        </is>
      </c>
      <c r="F22" s="296" t="inlineStr">
        <is>
          <t>渠道設定與健康監控紀錄</t>
        </is>
      </c>
      <c r="G22" s="299" t="inlineStr">
        <is>
          <t>Anderson</t>
        </is>
      </c>
      <c r="H22" s="300" t="n">
        <v>46237</v>
      </c>
      <c r="I22" s="291" t="n">
        <v>46237</v>
      </c>
      <c r="J22" s="292">
        <f>IF(I22&lt;&gt;"",IF(I22&gt;H22,"逾期 "&amp;(I22-H22)&amp;"天",IF(H22&gt;I22,"提前 "&amp;(H22-I22)&amp;"天","準時完成")),IF(TODAY()&gt;H22,"逾期 "&amp;(TODAY()-H22)&amp;"天（未完成）",IF((H22-TODAY())&lt;=3,"接近截止（"&amp;(H22-TODAY())&amp;"天）",(H22-TODAY())&amp;"天後到期")))</f>
        <v/>
      </c>
      <c r="K22" s="301" t="n">
        <v>100</v>
      </c>
      <c r="L22" s="296" t="inlineStr">
        <is>
          <t>既有完成，需持續觀察渠道健康與成本。</t>
        </is>
      </c>
      <c r="M22" s="294" t="inlineStr">
        <is>
          <t>Sub2API channel／monitor設定</t>
        </is>
      </c>
      <c r="N22" s="245" t="inlineStr">
        <is>
          <t>渠道可用性與帳務可稽核性分開驗收。</t>
        </is>
      </c>
      <c r="O22" s="245" t="inlineStr">
        <is>
          <t>不以單次請求成功代表正式SLA。</t>
        </is>
      </c>
    </row>
    <row r="23" ht="81.75" customHeight="1" s="195">
      <c r="A23" s="286" t="inlineStr">
        <is>
          <t>Sub2API</t>
        </is>
      </c>
      <c r="B23" s="286" t="inlineStr">
        <is>
          <t>既有建置</t>
        </is>
      </c>
      <c r="C23" s="287" t="inlineStr">
        <is>
          <t>T1-S2A-03</t>
        </is>
      </c>
      <c r="D23" s="288" t="inlineStr">
        <is>
          <t>測試訂閱管理情境</t>
        </is>
      </c>
      <c r="E23" s="286" t="inlineStr">
        <is>
          <t>建立30日零元測試訂閱與有效期情境，確認使用者訂閱狀態。</t>
        </is>
      </c>
      <c r="F23" s="286" t="inlineStr">
        <is>
          <t>訂閱情境與驗證紀錄</t>
        </is>
      </c>
      <c r="G23" s="289" t="inlineStr">
        <is>
          <t>Anderson</t>
        </is>
      </c>
      <c r="H23" s="290" t="n">
        <v>46237</v>
      </c>
      <c r="I23" s="291" t="n">
        <v>46237</v>
      </c>
      <c r="J23" s="292">
        <f>IF(I23&lt;&gt;"",IF(I23&gt;H23,"逾期 "&amp;(I23-H23)&amp;"天",IF(H23&gt;I23,"提前 "&amp;(H23-I23)&amp;"天","準時完成")),IF(TODAY()&gt;H23,"逾期 "&amp;(TODAY()-H23)&amp;"天（未完成）",IF((H23-TODAY())&lt;=3,"接近截止（"&amp;(H23-TODAY())&amp;"天）",(H23-TODAY())&amp;"天後到期")))</f>
        <v/>
      </c>
      <c r="K23" s="293" t="n">
        <v>100</v>
      </c>
      <c r="L23" s="286" t="inlineStr">
        <is>
          <t>既有完成；零元測試不等於正式商業付款流程。</t>
        </is>
      </c>
      <c r="M23" s="294" t="inlineStr">
        <is>
          <t>Sub2API subscription設定</t>
        </is>
      </c>
      <c r="N23" s="245" t="inlineStr">
        <is>
          <t>技術訂閱與商業計費必須分開宣稱。</t>
        </is>
      </c>
      <c r="O23" s="245" t="inlineStr">
        <is>
          <t>否決把測試訂閱描述成正式商業訂閱。</t>
        </is>
      </c>
    </row>
    <row r="24" ht="22.5" customHeight="1" s="195">
      <c r="A24" s="304" t="inlineStr">
        <is>
          <t>Sub2API｜近期管理計畫</t>
        </is>
      </c>
      <c r="B24" s="197" t="n"/>
      <c r="C24" s="197" t="n"/>
      <c r="D24" s="197" t="n"/>
      <c r="E24" s="197" t="n"/>
      <c r="F24" s="197" t="n"/>
      <c r="G24" s="197" t="n"/>
      <c r="H24" s="197" t="n"/>
      <c r="I24" s="197" t="n"/>
      <c r="J24" s="197" t="n"/>
      <c r="K24" s="197" t="n"/>
      <c r="L24" s="198" t="n"/>
    </row>
    <row r="25" ht="81.75" customHeight="1" s="195">
      <c r="A25" s="296" t="inlineStr">
        <is>
          <t>Sub2API</t>
        </is>
      </c>
      <c r="B25" s="296" t="inlineStr">
        <is>
          <t>近期管理</t>
        </is>
      </c>
      <c r="C25" s="297" t="inlineStr">
        <is>
          <t>T1-S2A-04</t>
        </is>
      </c>
      <c r="D25" s="298" t="inlineStr">
        <is>
          <t>用量歸屬、報表與告警</t>
        </is>
      </c>
      <c r="E25" s="296" t="inlineStr">
        <is>
          <t>釐清usage_logs.subscription_id關聯，建立群組／渠道／使用者用量核對與額度／到期告警。</t>
        </is>
      </c>
      <c r="F25" s="296" t="inlineStr">
        <is>
          <t>用量報表與告警驗收案例</t>
        </is>
      </c>
      <c r="G25" s="299" t="inlineStr">
        <is>
          <t>Anderson</t>
        </is>
      </c>
      <c r="H25" s="300" t="n">
        <v>46255</v>
      </c>
      <c r="I25" s="291" t="n"/>
      <c r="J25" s="292">
        <f>IF(I25&lt;&gt;"",IF(I25&gt;H25,"逾期 "&amp;(I25-H25)&amp;"天",IF(H25&gt;I25,"提前 "&amp;(H25-I25)&amp;"天","準時完成")),IF(TODAY()&gt;H25,"逾期 "&amp;(TODAY()-H25)&amp;"天（未完成）",IF((H25-TODAY())&lt;=3,"接近截止（"&amp;(H25-TODAY())&amp;"天）",(H25-TODAY())&amp;"天後到期")))</f>
        <v/>
      </c>
      <c r="K25" s="301" t="n">
        <v>10</v>
      </c>
      <c r="L25" s="296" t="inlineStr">
        <is>
          <t>已完成缺口分析；下週進入資料關聯與驗收設計。</t>
        </is>
      </c>
      <c r="M25" s="294" t="inlineStr">
        <is>
          <t>預計：usage／subscription evidence</t>
        </is>
      </c>
      <c r="N25" s="245" t="inlineStr">
        <is>
          <t>用資料關聯與可重現測試驗證歸屬。</t>
        </is>
      </c>
      <c r="O25" s="245" t="inlineStr">
        <is>
          <t>不在缺少用量證據時啟用正式扣款。</t>
        </is>
      </c>
    </row>
    <row r="26" ht="81.75" customHeight="1" s="195">
      <c r="A26" s="286" t="inlineStr">
        <is>
          <t>Sub2API</t>
        </is>
      </c>
      <c r="B26" s="286" t="inlineStr">
        <is>
          <t>近期管理</t>
        </is>
      </c>
      <c r="C26" s="287" t="inlineStr">
        <is>
          <t>T1-S2A-05</t>
        </is>
      </c>
      <c r="D26" s="288" t="inlineStr">
        <is>
          <t>TLS／SSRF／Key輪替與群組隔離</t>
        </is>
      </c>
      <c r="E26" s="286" t="inlineStr">
        <is>
          <t>完成HTTPS、Ollama端點allowlist、最小權限、Key rotation及跨群組隔離測試。</t>
        </is>
      </c>
      <c r="F26" s="286" t="inlineStr">
        <is>
          <t>安全設定與隔離測試報告</t>
        </is>
      </c>
      <c r="G26" s="289" t="inlineStr">
        <is>
          <t>Anderson</t>
        </is>
      </c>
      <c r="H26" s="290" t="n">
        <v>46262</v>
      </c>
      <c r="I26" s="291" t="n"/>
      <c r="J26" s="292">
        <f>IF(I26&lt;&gt;"",IF(I26&gt;H26,"逾期 "&amp;(I26-H26)&amp;"天",IF(H26&gt;I26,"提前 "&amp;(H26-I26)&amp;"天","準時完成")),IF(TODAY()&gt;H26,"逾期 "&amp;(TODAY()-H26)&amp;"天（未完成）",IF((H26-TODAY())&lt;=3,"接近截止（"&amp;(H26-TODAY())&amp;"天）",(H26-TODAY())&amp;"天後到期")))</f>
        <v/>
      </c>
      <c r="K26" s="293" t="n">
        <v>10</v>
      </c>
      <c r="L26" s="286" t="inlineStr">
        <is>
          <t>已完成風險評估，待正式執行。</t>
        </is>
      </c>
      <c r="M26" s="294" t="inlineStr">
        <is>
          <t>預計：security hardening evidence</t>
        </is>
      </c>
      <c r="N26" s="245" t="inlineStr">
        <is>
          <t>安全控制由可配置規則與部署邊界落實。</t>
        </is>
      </c>
      <c r="O26" s="245" t="inlineStr">
        <is>
          <t>否決在TLS未完成或SSRF allowlist關閉時正式開放。</t>
        </is>
      </c>
    </row>
    <row r="27" ht="22.5" customHeight="1" s="195">
      <c r="A27" s="305" t="inlineStr">
        <is>
          <t>Sub2API｜正式化與維運排程</t>
        </is>
      </c>
      <c r="B27" s="197" t="n"/>
      <c r="C27" s="197" t="n"/>
      <c r="D27" s="197" t="n"/>
      <c r="E27" s="197" t="n"/>
      <c r="F27" s="197" t="n"/>
      <c r="G27" s="197" t="n"/>
      <c r="H27" s="197" t="n"/>
      <c r="I27" s="197" t="n"/>
      <c r="J27" s="197" t="n"/>
      <c r="K27" s="197" t="n"/>
      <c r="L27" s="198" t="n"/>
    </row>
    <row r="28" ht="81.75" customHeight="1" s="195">
      <c r="A28" s="296" t="inlineStr">
        <is>
          <t>Sub2API</t>
        </is>
      </c>
      <c r="B28" s="296" t="inlineStr">
        <is>
          <t>正式化</t>
        </is>
      </c>
      <c r="C28" s="297" t="inlineStr">
        <is>
          <t>T1-S2A-06</t>
        </is>
      </c>
      <c r="D28" s="298" t="inlineStr">
        <is>
          <t>方案、模型價格與Quota設計</t>
        </is>
      </c>
      <c r="E28" s="296" t="inlineStr">
        <is>
          <t>依真實用量建立方案矩陣、模型價格、群組配額與成本基線。</t>
        </is>
      </c>
      <c r="F28" s="296" t="inlineStr">
        <is>
          <t>方案／價格／Quota矩陣</t>
        </is>
      </c>
      <c r="G28" s="299" t="inlineStr">
        <is>
          <t>Anderson</t>
        </is>
      </c>
      <c r="H28" s="300" t="n">
        <v>46269</v>
      </c>
      <c r="I28" s="291" t="n"/>
      <c r="J28" s="292">
        <f>IF(I28&lt;&gt;"",IF(I28&gt;H28,"逾期 "&amp;(I28-H28)&amp;"天",IF(H28&gt;I28,"提前 "&amp;(H28-I28)&amp;"天","準時完成")),IF(TODAY()&gt;H28,"逾期 "&amp;(TODAY()-H28)&amp;"天（未完成）",IF((H28-TODAY())&lt;=3,"接近截止（"&amp;(H28-TODAY())&amp;"天）",(H28-TODAY())&amp;"天後到期")))</f>
        <v/>
      </c>
      <c r="K28" s="301" t="n">
        <v>5</v>
      </c>
      <c r="L28" s="296" t="inlineStr">
        <is>
          <t>已完成方向評估，待真實用量資料。</t>
        </is>
      </c>
      <c r="M28" s="294" t="inlineStr">
        <is>
          <t>預計：commercial plan</t>
        </is>
      </c>
      <c r="N28" s="245" t="inlineStr">
        <is>
          <t>先有成本基線，再決定方案與付款整合。</t>
        </is>
      </c>
      <c r="O28" s="245" t="inlineStr">
        <is>
          <t>不在成本未知時承諾固定價格。</t>
        </is>
      </c>
    </row>
    <row r="29" ht="81.75" customHeight="1" s="195">
      <c r="A29" s="286" t="inlineStr">
        <is>
          <t>Sub2API</t>
        </is>
      </c>
      <c r="B29" s="286" t="inlineStr">
        <is>
          <t>正式化</t>
        </is>
      </c>
      <c r="C29" s="287" t="inlineStr">
        <is>
          <t>T1-S2A-07</t>
        </is>
      </c>
      <c r="D29" s="288" t="inlineStr">
        <is>
          <t>SLA監控、備份還原與事件Runbook</t>
        </is>
      </c>
      <c r="E29" s="286" t="inlineStr">
        <is>
          <t>建立告警門檻、備份／還原演練、渠道異常與訂閱事件處理流程。</t>
        </is>
      </c>
      <c r="F29" s="286" t="inlineStr">
        <is>
          <t>SLA dashboard與維運Runbook</t>
        </is>
      </c>
      <c r="G29" s="289" t="inlineStr">
        <is>
          <t>Anderson</t>
        </is>
      </c>
      <c r="H29" s="290" t="n">
        <v>46276</v>
      </c>
      <c r="I29" s="291" t="n"/>
      <c r="J29" s="292">
        <f>IF(I29&lt;&gt;"",IF(I29&gt;H29,"逾期 "&amp;(I29-H29)&amp;"天",IF(H29&gt;I29,"提前 "&amp;(H29-I29)&amp;"天","準時完成")),IF(TODAY()&gt;H29,"逾期 "&amp;(TODAY()-H29)&amp;"天（未完成）",IF((H29-TODAY())&lt;=3,"接近截止（"&amp;(H29-TODAY())&amp;"天）",(H29-TODAY())&amp;"天後到期")))</f>
        <v/>
      </c>
      <c r="K29" s="293" t="n">
        <v>5</v>
      </c>
      <c r="L29" s="286" t="inlineStr">
        <is>
          <t>已完成範圍評估，尚未實作。</t>
        </is>
      </c>
      <c r="M29" s="294" t="inlineStr">
        <is>
          <t>預計：operations runbook</t>
        </is>
      </c>
      <c r="N29" s="245" t="inlineStr">
        <is>
          <t>先建立可觀測性與回復能力，再擴大使用者。</t>
        </is>
      </c>
      <c r="O29" s="245" t="inlineStr">
        <is>
          <t>不在無備份與事件責任時全面開放。</t>
        </is>
      </c>
    </row>
    <row r="30" ht="81.75" customHeight="1" s="195">
      <c r="A30" s="286" t="inlineStr">
        <is>
          <t>Sub2API</t>
        </is>
      </c>
      <c r="B30" s="286" t="inlineStr">
        <is>
          <t>正式化</t>
        </is>
      </c>
      <c r="C30" s="287" t="inlineStr">
        <is>
          <t>T1-S2A-08</t>
        </is>
      </c>
      <c r="D30" s="288" t="inlineStr">
        <is>
          <t>正式驗收與管理交接</t>
        </is>
      </c>
      <c r="E30" s="286" t="inlineStr">
        <is>
          <t>完成權限、成本、用量、SLA、備份與安全Gate後，建立月度檢查及管理責任。</t>
        </is>
      </c>
      <c r="F30" s="286" t="inlineStr">
        <is>
          <t>驗收清單與管理交接文件</t>
        </is>
      </c>
      <c r="G30" s="289" t="inlineStr">
        <is>
          <t>Anderson</t>
        </is>
      </c>
      <c r="H30" s="290" t="n">
        <v>46295</v>
      </c>
      <c r="I30" s="291" t="n"/>
      <c r="J30" s="292">
        <f>IF(I30&lt;&gt;"",IF(I30&gt;H30,"逾期 "&amp;(I30-H30)&amp;"天",IF(H30&gt;I30,"提前 "&amp;(H30-I30)&amp;"天","準時完成")),IF(TODAY()&gt;H30,"逾期 "&amp;(TODAY()-H30)&amp;"天（未完成）",IF((H30-TODAY())&lt;=3,"接近截止（"&amp;(H30-TODAY())&amp;"天）",(H30-TODAY())&amp;"天後到期")))</f>
        <v/>
      </c>
      <c r="K30" s="293" t="n">
        <v>0</v>
      </c>
      <c r="L30" s="286" t="inlineStr">
        <is>
          <t>排程已訂；依前述安全與用量Gate完成後啟動。</t>
        </is>
      </c>
      <c r="M30" s="294" t="inlineStr">
        <is>
          <t>預計：acceptance／handover evidence</t>
        </is>
      </c>
      <c r="N30" s="245" t="inlineStr">
        <is>
          <t>正式開放以Gate證據決定，不以功能存在決定。</t>
        </is>
      </c>
      <c r="O30" s="245" t="inlineStr">
        <is>
          <t>不在責任、成本與安全未定義前正式上線。</t>
        </is>
      </c>
    </row>
    <row r="32" ht="22.5" customHeight="1" s="195">
      <c r="A32" s="285" t="n"/>
    </row>
    <row r="33" ht="81.75" customHeight="1" s="195">
      <c r="A33" s="286" t="n"/>
      <c r="B33" s="286" t="n"/>
      <c r="C33" s="287" t="n"/>
      <c r="D33" s="288" t="n"/>
      <c r="E33" s="286" t="n"/>
      <c r="F33" s="286" t="n"/>
      <c r="G33" s="289" t="n"/>
      <c r="H33" s="290" t="n"/>
      <c r="I33" s="291" t="n"/>
      <c r="J33" s="292" t="n"/>
      <c r="K33" s="293" t="n"/>
      <c r="L33" s="286" t="n"/>
      <c r="M33" s="294" t="n"/>
      <c r="N33" s="245" t="n"/>
      <c r="O33" s="245" t="n"/>
    </row>
    <row r="34" ht="81.75" customHeight="1" s="195">
      <c r="A34" s="286" t="n"/>
      <c r="B34" s="286" t="n"/>
      <c r="C34" s="287" t="n"/>
      <c r="D34" s="288" t="n"/>
      <c r="E34" s="286" t="n"/>
      <c r="F34" s="286" t="n"/>
      <c r="G34" s="289" t="n"/>
      <c r="H34" s="290" t="n"/>
      <c r="I34" s="291" t="n"/>
      <c r="J34" s="292" t="n"/>
      <c r="K34" s="293" t="n"/>
      <c r="L34" s="286" t="n"/>
      <c r="M34" s="294" t="n"/>
      <c r="N34" s="245" t="n"/>
      <c r="O34" s="245" t="n"/>
    </row>
    <row r="35" ht="81.75" customHeight="1" s="195">
      <c r="A35" s="286" t="n"/>
      <c r="B35" s="286" t="n"/>
      <c r="C35" s="287" t="n"/>
      <c r="D35" s="288" t="n"/>
      <c r="E35" s="286" t="n"/>
      <c r="F35" s="286" t="n"/>
      <c r="G35" s="289" t="n"/>
      <c r="H35" s="290" t="n"/>
      <c r="I35" s="291" t="n"/>
      <c r="J35" s="292" t="n"/>
      <c r="K35" s="293" t="n"/>
      <c r="L35" s="286" t="n"/>
      <c r="M35" s="294" t="n"/>
      <c r="N35" s="245" t="n"/>
      <c r="O35" s="245" t="n"/>
    </row>
    <row r="36" ht="81.75" customHeight="1" s="195">
      <c r="A36" s="286" t="n"/>
      <c r="B36" s="286" t="n"/>
      <c r="C36" s="287" t="n"/>
      <c r="D36" s="288" t="n"/>
      <c r="E36" s="286" t="n"/>
      <c r="F36" s="286" t="n"/>
      <c r="G36" s="289" t="n"/>
      <c r="H36" s="290" t="n"/>
      <c r="I36" s="291" t="n"/>
      <c r="J36" s="292" t="n"/>
      <c r="K36" s="293" t="n"/>
      <c r="L36" s="286" t="n"/>
      <c r="M36" s="294" t="n"/>
      <c r="N36" s="245" t="n"/>
      <c r="O36" s="245" t="n"/>
    </row>
  </sheetData>
  <mergeCells count="9">
    <mergeCell ref="A20:L20"/>
    <mergeCell ref="A24:L24"/>
    <mergeCell ref="A2:L2"/>
    <mergeCell ref="A10:L10"/>
    <mergeCell ref="A7:L7"/>
    <mergeCell ref="A1:L1"/>
    <mergeCell ref="A14:L14"/>
    <mergeCell ref="A27:L27"/>
    <mergeCell ref="A4:L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O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12" customWidth="1" style="194" min="1" max="1"/>
    <col width="18" customWidth="1" style="194" min="2" max="2"/>
    <col width="10" customWidth="1" style="194" min="3" max="3"/>
    <col width="26" customWidth="1" style="194" min="4" max="4"/>
    <col width="38" customWidth="1" style="194" min="5" max="5"/>
    <col width="26" customWidth="1" style="194" min="6" max="6"/>
    <col width="10" customWidth="1" style="194" min="7" max="7"/>
    <col width="13" customWidth="1" style="194" min="8" max="9"/>
    <col width="22" customWidth="1" style="194" min="10" max="10"/>
    <col width="9" customWidth="1" style="194" min="11" max="11"/>
    <col width="36" customWidth="1" style="194" min="12" max="12"/>
    <col width="35" customWidth="1" style="194" min="13" max="14"/>
    <col width="30" customWidth="1" style="194" min="15" max="15"/>
  </cols>
  <sheetData>
    <row r="1" ht="24" customHeight="1" s="195">
      <c r="A1" s="283" t="inlineStr">
        <is>
          <t>T3開發計劃｜CSIT System驗證申請系統</t>
        </is>
      </c>
    </row>
    <row r="2" ht="15.75" customHeight="1" s="195">
      <c r="A2" s="284" t="inlineStr">
        <is>
          <t>負責人：Patty　｜　建立日期：2026-07-31</t>
        </is>
      </c>
      <c r="M2" s="261" t="inlineStr">
        <is>
          <t>▸ 請填入實際檔案路徑或 SharePoint 連結</t>
        </is>
      </c>
      <c r="N2" s="237" t="inlineStr">
        <is>
          <t>▸ 本週的關鍵技術判斷？為什麼這樣決定？</t>
        </is>
      </c>
      <c r="O2" s="237" t="inlineStr">
        <is>
          <t>▸ 本週否決過AI的哪個建議？為什麼？</t>
        </is>
      </c>
    </row>
    <row r="3" ht="19.5" customHeight="1" s="195">
      <c r="A3" s="262" t="inlineStr">
        <is>
          <t>階段</t>
        </is>
      </c>
      <c r="B3" s="262" t="inlineStr">
        <is>
          <t>子階段</t>
        </is>
      </c>
      <c r="C3" s="262" t="inlineStr">
        <is>
          <t>任務編號</t>
        </is>
      </c>
      <c r="D3" s="262" t="inlineStr">
        <is>
          <t>任務名稱</t>
        </is>
      </c>
      <c r="E3" s="262" t="inlineStr">
        <is>
          <t>任務說明</t>
        </is>
      </c>
      <c r="F3" s="262" t="inlineStr">
        <is>
          <t>交付產出</t>
        </is>
      </c>
      <c r="G3" s="262" t="inlineStr">
        <is>
          <t>負責人</t>
        </is>
      </c>
      <c r="H3" s="262" t="inlineStr">
        <is>
          <t>預計完成日</t>
        </is>
      </c>
      <c r="I3" s="262" t="inlineStr">
        <is>
          <t>實際完成日</t>
        </is>
      </c>
      <c r="J3" s="262" t="inlineStr">
        <is>
          <t>開發狀態</t>
        </is>
      </c>
      <c r="K3" s="262" t="inlineStr">
        <is>
          <t>進度(%)</t>
        </is>
      </c>
      <c r="L3" s="262" t="inlineStr">
        <is>
          <t>備註</t>
        </is>
      </c>
      <c r="M3" s="238" t="inlineStr">
        <is>
          <t>交付路徑</t>
        </is>
      </c>
      <c r="N3" s="239" t="inlineStr">
        <is>
          <t>關鍵判斷</t>
        </is>
      </c>
      <c r="O3" s="239" t="inlineStr">
        <is>
          <t>否決AI記錄</t>
        </is>
      </c>
    </row>
    <row r="4" ht="18" customHeight="1" s="195">
      <c r="A4" s="285" t="inlineStr">
        <is>
          <t>系統架構設計</t>
        </is>
      </c>
      <c r="B4" s="197" t="n"/>
      <c r="C4" s="197" t="n"/>
      <c r="D4" s="197" t="n"/>
      <c r="E4" s="197" t="n"/>
      <c r="F4" s="197" t="n"/>
      <c r="G4" s="197" t="n"/>
      <c r="H4" s="197" t="n"/>
      <c r="I4" s="197" t="n"/>
      <c r="J4" s="197" t="n"/>
      <c r="K4" s="197" t="n"/>
      <c r="L4" s="198" t="n"/>
    </row>
    <row r="5" ht="39.75" customHeight="1" s="195">
      <c r="A5" s="272" t="inlineStr">
        <is>
          <t>系統架構設計</t>
        </is>
      </c>
      <c r="B5" s="272" t="inlineStr">
        <is>
          <t>架構規劃</t>
        </is>
      </c>
      <c r="C5" s="273" t="inlineStr">
        <is>
          <t>T3-A1</t>
        </is>
      </c>
      <c r="D5" s="274" t="inlineStr">
        <is>
          <t>系統架構設計</t>
        </is>
      </c>
      <c r="E5" s="275" t="inlineStr">
        <is>
          <t>CSIT驗證申請系統整體架構設計</t>
        </is>
      </c>
      <c r="F5" s="275" t="inlineStr">
        <is>
          <t>系統架構文件</t>
        </is>
      </c>
      <c r="G5" s="272" t="inlineStr">
        <is>
          <t>Patty</t>
        </is>
      </c>
      <c r="H5" s="272" t="inlineStr">
        <is>
          <t>2026-08-25</t>
        </is>
      </c>
      <c r="I5" s="267" t="n"/>
      <c r="J5" s="268">
        <f>IF(I5&lt;&gt;"", IF(I5&gt;DATEVALUE(H5),"🔴 逾期 "&amp;(I5-DATEVALUE(H5))&amp;"天", IF(DATEVALUE(H5)&gt;I5,"🟢 提前 "&amp;(DATEVALUE(H5)-I5)&amp;"天","🟡 準時完成")), IF((DATEVALUE(H5)-TODAY())&lt;=3,"🟡 接近截止（"&amp;(DATEVALUE(H5)-TODAY())&amp;"天）", IF(TODAY()&gt;DATEVALUE(H5),"🔴 逾期 "&amp;(TODAY()-DATEVALUE(H5))&amp;"天（未完成）","🟢 " &amp;(DATEVALUE(H5)-TODAY())&amp;"天後到期")))</f>
        <v/>
      </c>
      <c r="K5" s="276" t="n">
        <v>0</v>
      </c>
      <c r="L5" s="272" t="n"/>
      <c r="M5" s="270" t="n"/>
      <c r="N5" s="245" t="n"/>
      <c r="O5" s="245" t="n"/>
    </row>
    <row r="6" ht="39.75" customHeight="1" s="195">
      <c r="A6" s="272" t="inlineStr">
        <is>
          <t>系統架構設計</t>
        </is>
      </c>
      <c r="B6" s="272" t="inlineStr">
        <is>
          <t>資料庫設計</t>
        </is>
      </c>
      <c r="C6" s="273" t="inlineStr">
        <is>
          <t>T3-A2</t>
        </is>
      </c>
      <c r="D6" s="274" t="inlineStr">
        <is>
          <t>資料庫設計</t>
        </is>
      </c>
      <c r="E6" s="275" t="inlineStr">
        <is>
          <t>申請資料與流程資料庫設計</t>
        </is>
      </c>
      <c r="F6" s="275" t="inlineStr">
        <is>
          <t>資料庫規格文件</t>
        </is>
      </c>
      <c r="G6" s="272" t="inlineStr">
        <is>
          <t>Patty</t>
        </is>
      </c>
      <c r="H6" s="272" t="inlineStr">
        <is>
          <t>2026-09-01</t>
        </is>
      </c>
      <c r="I6" s="267" t="n"/>
      <c r="J6" s="268">
        <f>IF(I6&lt;&gt;"", IF(I6&gt;DATEVALUE(H6),"🔴 逾期 "&amp;(I6-DATEVALUE(H6))&amp;"天", IF(DATEVALUE(H6)&gt;I6,"🟢 提前 "&amp;(DATEVALUE(H6)-I6)&amp;"天","🟡 準時完成")), IF((DATEVALUE(H6)-TODAY())&lt;=3,"🟡 接近截止（"&amp;(DATEVALUE(H6)-TODAY())&amp;"天）", IF(TODAY()&gt;DATEVALUE(H6),"🔴 逾期 "&amp;(TODAY()-DATEVALUE(H6))&amp;"天（未完成）","🟢 " &amp;(DATEVALUE(H6)-TODAY())&amp;"天後到期")))</f>
        <v/>
      </c>
      <c r="K6" s="276" t="n">
        <v>0</v>
      </c>
      <c r="L6" s="272" t="n"/>
      <c r="M6" s="270" t="n"/>
      <c r="N6" s="245" t="n"/>
      <c r="O6" s="245" t="n"/>
    </row>
    <row r="7" ht="18" customHeight="1" s="195">
      <c r="A7" s="295" t="inlineStr">
        <is>
          <t>系統流程設計</t>
        </is>
      </c>
      <c r="B7" s="197" t="n"/>
      <c r="C7" s="197" t="n"/>
      <c r="D7" s="197" t="n"/>
      <c r="E7" s="197" t="n"/>
      <c r="F7" s="197" t="n"/>
      <c r="G7" s="197" t="n"/>
      <c r="H7" s="197" t="n"/>
      <c r="I7" s="197" t="n"/>
      <c r="J7" s="197" t="n"/>
      <c r="K7" s="197" t="n"/>
      <c r="L7" s="198" t="n"/>
    </row>
    <row r="8" ht="39.75" customHeight="1" s="195">
      <c r="A8" s="272" t="inlineStr">
        <is>
          <t>系統流程設計</t>
        </is>
      </c>
      <c r="B8" s="272" t="inlineStr">
        <is>
          <t>流程設計</t>
        </is>
      </c>
      <c r="C8" s="273" t="inlineStr">
        <is>
          <t>T3-B1</t>
        </is>
      </c>
      <c r="D8" s="274" t="inlineStr">
        <is>
          <t>申請流程設計</t>
        </is>
      </c>
      <c r="E8" s="275" t="inlineStr">
        <is>
          <t>驗證申請線上流程設計</t>
        </is>
      </c>
      <c r="F8" s="275" t="inlineStr">
        <is>
          <t>申請流程圖</t>
        </is>
      </c>
      <c r="G8" s="272" t="inlineStr">
        <is>
          <t>Patty</t>
        </is>
      </c>
      <c r="H8" s="272" t="inlineStr">
        <is>
          <t>2026-09-05</t>
        </is>
      </c>
      <c r="I8" s="267" t="n"/>
      <c r="J8" s="268">
        <f>IF(I8&lt;&gt;"", IF(I8&gt;DATEVALUE(H8),"🔴 逾期 "&amp;(I8-DATEVALUE(H8))&amp;"天", IF(DATEVALUE(H8)&gt;I8,"🟢 提前 "&amp;(DATEVALUE(H8)-I8)&amp;"天","🟡 準時完成")), IF((DATEVALUE(H8)-TODAY())&lt;=3,"🟡 接近截止（"&amp;(DATEVALUE(H8)-TODAY())&amp;"天）", IF(TODAY()&gt;DATEVALUE(H8),"🔴 逾期 "&amp;(TODAY()-DATEVALUE(H8))&amp;"天（未完成）","🟢 " &amp;(DATEVALUE(H8)-TODAY())&amp;"天後到期")))</f>
        <v/>
      </c>
      <c r="K8" s="276" t="n">
        <v>0</v>
      </c>
      <c r="L8" s="272" t="n"/>
      <c r="M8" s="270" t="n"/>
      <c r="N8" s="245" t="n"/>
      <c r="O8" s="245" t="n"/>
    </row>
    <row r="9" ht="39.75" customHeight="1" s="195">
      <c r="A9" s="272" t="inlineStr">
        <is>
          <t>系統流程設計</t>
        </is>
      </c>
      <c r="B9" s="272" t="inlineStr">
        <is>
          <t>流程設計</t>
        </is>
      </c>
      <c r="C9" s="273" t="inlineStr">
        <is>
          <t>T3-B2</t>
        </is>
      </c>
      <c r="D9" s="274" t="inlineStr">
        <is>
          <t>審核流程設計</t>
        </is>
      </c>
      <c r="E9" s="275" t="inlineStr">
        <is>
          <t>審核單位審核流程設計</t>
        </is>
      </c>
      <c r="F9" s="275" t="inlineStr">
        <is>
          <t>審核流程圖</t>
        </is>
      </c>
      <c r="G9" s="272" t="inlineStr">
        <is>
          <t>Patty</t>
        </is>
      </c>
      <c r="H9" s="272" t="inlineStr">
        <is>
          <t>2026-09-08</t>
        </is>
      </c>
      <c r="I9" s="267" t="n"/>
      <c r="J9" s="268">
        <f>IF(I9&lt;&gt;"", IF(I9&gt;DATEVALUE(H9),"🔴 逾期 "&amp;(I9-DATEVALUE(H9))&amp;"天", IF(DATEVALUE(H9)&gt;I9,"🟢 提前 "&amp;(DATEVALUE(H9)-I9)&amp;"天","🟡 準時完成")), IF((DATEVALUE(H9)-TODAY())&lt;=3,"🟡 接近截止（"&amp;(DATEVALUE(H9)-TODAY())&amp;"天）", IF(TODAY()&gt;DATEVALUE(H9),"🔴 逾期 "&amp;(TODAY()-DATEVALUE(H9))&amp;"天（未完成）","🟢 " &amp;(DATEVALUE(H9)-TODAY())&amp;"天後到期")))</f>
        <v/>
      </c>
      <c r="K9" s="276" t="n">
        <v>0</v>
      </c>
      <c r="L9" s="272" t="n"/>
      <c r="M9" s="270" t="n"/>
      <c r="N9" s="245" t="n"/>
      <c r="O9" s="245" t="n"/>
    </row>
    <row r="10" ht="18" customHeight="1" s="195">
      <c r="A10" s="302" t="inlineStr">
        <is>
          <t>知識工程與需求訪談</t>
        </is>
      </c>
      <c r="B10" s="197" t="n"/>
      <c r="C10" s="197" t="n"/>
      <c r="D10" s="197" t="n"/>
      <c r="E10" s="197" t="n"/>
      <c r="F10" s="197" t="n"/>
      <c r="G10" s="197" t="n"/>
      <c r="H10" s="197" t="n"/>
      <c r="I10" s="197" t="n"/>
      <c r="J10" s="197" t="n"/>
      <c r="K10" s="197" t="n"/>
      <c r="L10" s="198" t="n"/>
    </row>
    <row r="11" ht="39.75" customHeight="1" s="195">
      <c r="A11" s="272" t="inlineStr">
        <is>
          <t>知識工程與需求訪談</t>
        </is>
      </c>
      <c r="B11" s="272" t="inlineStr">
        <is>
          <t>需求訪談</t>
        </is>
      </c>
      <c r="C11" s="273" t="inlineStr">
        <is>
          <t>T3-K1</t>
        </is>
      </c>
      <c r="D11" s="274" t="inlineStr">
        <is>
          <t>需求訪談</t>
        </is>
      </c>
      <c r="E11" s="275" t="inlineStr">
        <is>
          <t>使用單位、審核單位需求訪談</t>
        </is>
      </c>
      <c r="F11" s="275" t="inlineStr">
        <is>
          <t>需求訪談紀錄</t>
        </is>
      </c>
      <c r="G11" s="272" t="inlineStr">
        <is>
          <t>Patty</t>
        </is>
      </c>
      <c r="H11" s="272" t="inlineStr">
        <is>
          <t>2026-08-18</t>
        </is>
      </c>
      <c r="I11" s="267" t="n"/>
      <c r="J11" s="268">
        <f>IF(I11&lt;&gt;"", IF(I11&gt;DATEVALUE(H11),"🔴 逾期 "&amp;(I11-DATEVALUE(H11))&amp;"天", IF(DATEVALUE(H11)&gt;I11,"🟢 提前 "&amp;(DATEVALUE(H11)-I11)&amp;"天","🟡 準時完成")), IF((DATEVALUE(H11)-TODAY())&lt;=3,"🟡 接近截止（"&amp;(DATEVALUE(H11)-TODAY())&amp;"天）", IF(TODAY()&gt;DATEVALUE(H11),"🔴 逾期 "&amp;(TODAY()-DATEVALUE(H11))&amp;"天（未完成）","🟢 " &amp;(DATEVALUE(H11)-TODAY())&amp;"天後到期")))</f>
        <v/>
      </c>
      <c r="K11" s="276" t="n">
        <v>0</v>
      </c>
      <c r="L11" s="272" t="n"/>
      <c r="M11" s="270" t="n"/>
      <c r="N11" s="245" t="n"/>
      <c r="O11" s="245" t="n"/>
    </row>
    <row r="12" ht="39.75" customHeight="1" s="195">
      <c r="A12" s="272" t="inlineStr">
        <is>
          <t>知識工程與需求訪談</t>
        </is>
      </c>
      <c r="B12" s="272" t="inlineStr">
        <is>
          <t>瓶頸分析</t>
        </is>
      </c>
      <c r="C12" s="273" t="inlineStr">
        <is>
          <t>T3-K2</t>
        </is>
      </c>
      <c r="D12" s="274" t="inlineStr">
        <is>
          <t>現有申請流程收集與瓶頸分析</t>
        </is>
      </c>
      <c r="E12" s="275" t="inlineStr">
        <is>
          <t>收集並分析現有申請流程痛點</t>
        </is>
      </c>
      <c r="F12" s="275" t="inlineStr">
        <is>
          <t>瓶頸分析報告</t>
        </is>
      </c>
      <c r="G12" s="272" t="inlineStr">
        <is>
          <t>Patty</t>
        </is>
      </c>
      <c r="H12" s="272" t="inlineStr">
        <is>
          <t>2026-08-22</t>
        </is>
      </c>
      <c r="I12" s="267" t="n"/>
      <c r="J12" s="268">
        <f>IF(I12&lt;&gt;"", IF(I12&gt;DATEVALUE(H12),"🔴 逾期 "&amp;(I12-DATEVALUE(H12))&amp;"天", IF(DATEVALUE(H12)&gt;I12,"🟢 提前 "&amp;(DATEVALUE(H12)-I12)&amp;"天","🟡 準時完成")), IF((DATEVALUE(H12)-TODAY())&lt;=3,"🟡 接近截止（"&amp;(DATEVALUE(H12)-TODAY())&amp;"天）", IF(TODAY()&gt;DATEVALUE(H12),"🔴 逾期 "&amp;(TODAY()-DATEVALUE(H12))&amp;"天（未完成）","🟢 " &amp;(DATEVALUE(H12)-TODAY())&amp;"天後到期")))</f>
        <v/>
      </c>
      <c r="K12" s="276" t="n">
        <v>0</v>
      </c>
      <c r="L12" s="272" t="n"/>
      <c r="M12" s="270" t="n"/>
      <c r="N12" s="245" t="n"/>
      <c r="O12" s="245" t="n"/>
    </row>
    <row r="13" ht="39.75" customHeight="1" s="195">
      <c r="A13" s="272" t="inlineStr">
        <is>
          <t>知識工程與需求訪談</t>
        </is>
      </c>
      <c r="B13" s="272" t="inlineStr">
        <is>
          <t>需求訪談</t>
        </is>
      </c>
      <c r="C13" s="273" t="inlineStr">
        <is>
          <t>T3-K3</t>
        </is>
      </c>
      <c r="D13" s="274" t="inlineStr">
        <is>
          <t>表單需求訪談</t>
        </is>
      </c>
      <c r="E13" s="275" t="inlineStr">
        <is>
          <t>各類申請表單需求訪談與彙整</t>
        </is>
      </c>
      <c r="F13" s="275" t="inlineStr">
        <is>
          <t>表單需求文件</t>
        </is>
      </c>
      <c r="G13" s="272" t="inlineStr">
        <is>
          <t>Patty</t>
        </is>
      </c>
      <c r="H13" s="272" t="inlineStr">
        <is>
          <t>2026-08-28</t>
        </is>
      </c>
      <c r="I13" s="267" t="n"/>
      <c r="J13" s="268">
        <f>IF(I13&lt;&gt;"", IF(I13&gt;DATEVALUE(H13),"🔴 逾期 "&amp;(I13-DATEVALUE(H13))&amp;"天", IF(DATEVALUE(H13)&gt;I13,"🟢 提前 "&amp;(DATEVALUE(H13)-I13)&amp;"天","🟡 準時完成")), IF((DATEVALUE(H13)-TODAY())&lt;=3,"🟡 接近截止（"&amp;(DATEVALUE(H13)-TODAY())&amp;"天）", IF(TODAY()&gt;DATEVALUE(H13),"🔴 逾期 "&amp;(TODAY()-DATEVALUE(H13))&amp;"天（未完成）","🟢 " &amp;(DATEVALUE(H13)-TODAY())&amp;"天後到期")))</f>
        <v/>
      </c>
      <c r="K13" s="276" t="n">
        <v>0</v>
      </c>
      <c r="L13" s="272" t="n"/>
      <c r="M13" s="270" t="n"/>
      <c r="N13" s="245" t="n"/>
      <c r="O13" s="245" t="n"/>
    </row>
    <row r="14" ht="18" customHeight="1" s="195">
      <c r="A14" s="271" t="inlineStr">
        <is>
          <t>開發現迭代任務</t>
        </is>
      </c>
      <c r="B14" s="197" t="n"/>
      <c r="C14" s="197" t="n"/>
      <c r="D14" s="197" t="n"/>
      <c r="E14" s="197" t="n"/>
      <c r="F14" s="197" t="n"/>
      <c r="G14" s="197" t="n"/>
      <c r="H14" s="197" t="n"/>
      <c r="I14" s="197" t="n"/>
      <c r="J14" s="197" t="n"/>
      <c r="K14" s="197" t="n"/>
      <c r="L14" s="198" t="n"/>
    </row>
    <row r="15" ht="39.75" customHeight="1" s="195">
      <c r="A15" s="272" t="inlineStr">
        <is>
          <t>開發現迭代任務</t>
        </is>
      </c>
      <c r="B15" s="272" t="inlineStr">
        <is>
          <t>開發任務</t>
        </is>
      </c>
      <c r="C15" s="273" t="inlineStr">
        <is>
          <t>T3-D1</t>
        </is>
      </c>
      <c r="D15" s="274" t="inlineStr">
        <is>
          <t>系統開發</t>
        </is>
      </c>
      <c r="E15" s="275" t="inlineStr">
        <is>
          <t>CSIT驗證申請系統功能開發</t>
        </is>
      </c>
      <c r="F15" s="275" t="inlineStr">
        <is>
          <t>系統程式碼</t>
        </is>
      </c>
      <c r="G15" s="272" t="inlineStr">
        <is>
          <t>Patty</t>
        </is>
      </c>
      <c r="H15" s="272" t="inlineStr">
        <is>
          <t>2026-09-20</t>
        </is>
      </c>
      <c r="I15" s="267" t="n"/>
      <c r="J15" s="268">
        <f>IF(I15&lt;&gt;"", IF(I15&gt;DATEVALUE(H15),"🔴 逾期 "&amp;(I15-DATEVALUE(H15))&amp;"天", IF(DATEVALUE(H15)&gt;I15,"🟢 提前 "&amp;(DATEVALUE(H15)-I15)&amp;"天","🟡 準時完成")), IF((DATEVALUE(H15)-TODAY())&lt;=3,"🟡 接近截止（"&amp;(DATEVALUE(H15)-TODAY())&amp;"天）", IF(TODAY()&gt;DATEVALUE(H15),"🔴 逾期 "&amp;(TODAY()-DATEVALUE(H15))&amp;"天（未完成）","🟢 " &amp;(DATEVALUE(H15)-TODAY())&amp;"天後到期")))</f>
        <v/>
      </c>
      <c r="K15" s="276" t="n">
        <v>0</v>
      </c>
      <c r="L15" s="272" t="n"/>
      <c r="M15" s="270" t="n"/>
      <c r="N15" s="245" t="n"/>
      <c r="O15" s="245" t="n"/>
    </row>
    <row r="16" ht="39.75" customHeight="1" s="195">
      <c r="A16" s="272" t="inlineStr">
        <is>
          <t>開發現迭代任務</t>
        </is>
      </c>
      <c r="B16" s="272" t="inlineStr">
        <is>
          <t>開發任務</t>
        </is>
      </c>
      <c r="C16" s="273" t="inlineStr">
        <is>
          <t>T3-D2</t>
        </is>
      </c>
      <c r="D16" s="274" t="inlineStr">
        <is>
          <t>單元測試</t>
        </is>
      </c>
      <c r="E16" s="275" t="inlineStr">
        <is>
          <t>各功能模組單元測試</t>
        </is>
      </c>
      <c r="F16" s="275" t="inlineStr">
        <is>
          <t>單元測試報告</t>
        </is>
      </c>
      <c r="G16" s="272" t="inlineStr">
        <is>
          <t>Patty</t>
        </is>
      </c>
      <c r="H16" s="272" t="inlineStr">
        <is>
          <t>2026-09-25</t>
        </is>
      </c>
      <c r="I16" s="267" t="n"/>
      <c r="J16" s="268">
        <f>IF(I16&lt;&gt;"", IF(I16&gt;DATEVALUE(H16),"🔴 逾期 "&amp;(I16-DATEVALUE(H16))&amp;"天", IF(DATEVALUE(H16)&gt;I16,"🟢 提前 "&amp;(DATEVALUE(H16)-I16)&amp;"天","🟡 準時完成")), IF((DATEVALUE(H16)-TODAY())&lt;=3,"🟡 接近截止（"&amp;(DATEVALUE(H16)-TODAY())&amp;"天）", IF(TODAY()&gt;DATEVALUE(H16),"🔴 逾期 "&amp;(TODAY()-DATEVALUE(H16))&amp;"天（未完成）","🟢 " &amp;(DATEVALUE(H16)-TODAY())&amp;"天後到期")))</f>
        <v/>
      </c>
      <c r="K16" s="276" t="n">
        <v>0</v>
      </c>
      <c r="L16" s="272" t="n"/>
      <c r="M16" s="270" t="n"/>
      <c r="N16" s="245" t="n"/>
      <c r="O16" s="245" t="n"/>
    </row>
    <row r="17" ht="39.75" customHeight="1" s="195">
      <c r="A17" s="272" t="inlineStr">
        <is>
          <t>開發現迭代任務</t>
        </is>
      </c>
      <c r="B17" s="272" t="inlineStr">
        <is>
          <t>開發任務</t>
        </is>
      </c>
      <c r="C17" s="273" t="inlineStr">
        <is>
          <t>T3-D3</t>
        </is>
      </c>
      <c r="D17" s="274" t="inlineStr">
        <is>
          <t>整合測試</t>
        </is>
      </c>
      <c r="E17" s="275" t="inlineStr">
        <is>
          <t>跨模組整合測試</t>
        </is>
      </c>
      <c r="F17" s="275" t="inlineStr">
        <is>
          <t>整合測試報告</t>
        </is>
      </c>
      <c r="G17" s="272" t="inlineStr">
        <is>
          <t>Patty</t>
        </is>
      </c>
      <c r="H17" s="272" t="inlineStr">
        <is>
          <t>2026-10-02</t>
        </is>
      </c>
      <c r="I17" s="267" t="n"/>
      <c r="J17" s="268">
        <f>IF(I17&lt;&gt;"", IF(I17&gt;DATEVALUE(H17),"🔴 逾期 "&amp;(I17-DATEVALUE(H17))&amp;"天", IF(DATEVALUE(H17)&gt;I17,"🟢 提前 "&amp;(DATEVALUE(H17)-I17)&amp;"天","🟡 準時完成")), IF((DATEVALUE(H17)-TODAY())&lt;=3,"🟡 接近截止（"&amp;(DATEVALUE(H17)-TODAY())&amp;"天）", IF(TODAY()&gt;DATEVALUE(H17),"🔴 逾期 "&amp;(TODAY()-DATEVALUE(H17))&amp;"天（未完成）","🟢 " &amp;(DATEVALUE(H17)-TODAY())&amp;"天後到期")))</f>
        <v/>
      </c>
      <c r="K17" s="276" t="n">
        <v>0</v>
      </c>
      <c r="L17" s="272" t="n"/>
      <c r="M17" s="270" t="n"/>
      <c r="N17" s="245" t="n"/>
      <c r="O17" s="245" t="n"/>
    </row>
    <row r="18" ht="18" customHeight="1" s="195">
      <c r="A18" s="303" t="inlineStr">
        <is>
          <t>系統整合測試</t>
        </is>
      </c>
      <c r="B18" s="197" t="n"/>
      <c r="C18" s="197" t="n"/>
      <c r="D18" s="197" t="n"/>
      <c r="E18" s="197" t="n"/>
      <c r="F18" s="197" t="n"/>
      <c r="G18" s="197" t="n"/>
      <c r="H18" s="197" t="n"/>
      <c r="I18" s="197" t="n"/>
      <c r="J18" s="197" t="n"/>
      <c r="K18" s="197" t="n"/>
      <c r="L18" s="198" t="n"/>
    </row>
    <row r="19" ht="39.75" customHeight="1" s="195">
      <c r="A19" s="272" t="inlineStr">
        <is>
          <t>系統整合測試</t>
        </is>
      </c>
      <c r="B19" s="272" t="inlineStr">
        <is>
          <t>測試</t>
        </is>
      </c>
      <c r="C19" s="273" t="inlineStr">
        <is>
          <t>T3-T1</t>
        </is>
      </c>
      <c r="D19" s="274" t="inlineStr">
        <is>
          <t>UAT測試</t>
        </is>
      </c>
      <c r="E19" s="275" t="inlineStr">
        <is>
          <t>使用者驗收測試</t>
        </is>
      </c>
      <c r="F19" s="275" t="inlineStr">
        <is>
          <t>UAT測試報告</t>
        </is>
      </c>
      <c r="G19" s="272" t="inlineStr">
        <is>
          <t>Patty</t>
        </is>
      </c>
      <c r="H19" s="272" t="inlineStr">
        <is>
          <t>2026-10-08</t>
        </is>
      </c>
      <c r="I19" s="267" t="n"/>
      <c r="J19" s="268">
        <f>IF(I19&lt;&gt;"", IF(I19&gt;DATEVALUE(H19),"🔴 逾期 "&amp;(I19-DATEVALUE(H19))&amp;"天", IF(DATEVALUE(H19)&gt;I19,"🟢 提前 "&amp;(DATEVALUE(H19)-I19)&amp;"天","🟡 準時完成")), IF((DATEVALUE(H19)-TODAY())&lt;=3,"🟡 接近截止（"&amp;(DATEVALUE(H19)-TODAY())&amp;"天）", IF(TODAY()&gt;DATEVALUE(H19),"🔴 逾期 "&amp;(TODAY()-DATEVALUE(H19))&amp;"天（未完成）","🟢 " &amp;(DATEVALUE(H19)-TODAY())&amp;"天後到期")))</f>
        <v/>
      </c>
      <c r="K19" s="276" t="n">
        <v>0</v>
      </c>
      <c r="L19" s="272" t="n"/>
      <c r="M19" s="270" t="n"/>
      <c r="N19" s="245" t="n"/>
      <c r="O19" s="245" t="n"/>
    </row>
    <row r="20" ht="18" customHeight="1" s="195">
      <c r="A20" s="304" t="inlineStr">
        <is>
          <t>驗收交付標準</t>
        </is>
      </c>
      <c r="B20" s="197" t="n"/>
      <c r="C20" s="197" t="n"/>
      <c r="D20" s="197" t="n"/>
      <c r="E20" s="197" t="n"/>
      <c r="F20" s="197" t="n"/>
      <c r="G20" s="197" t="n"/>
      <c r="H20" s="197" t="n"/>
      <c r="I20" s="197" t="n"/>
      <c r="J20" s="197" t="n"/>
      <c r="K20" s="197" t="n"/>
      <c r="L20" s="198" t="n"/>
    </row>
    <row r="21" ht="39.75" customHeight="1" s="195">
      <c r="A21" s="272" t="inlineStr">
        <is>
          <t>驗收交付標準</t>
        </is>
      </c>
      <c r="B21" s="272" t="inlineStr">
        <is>
          <t>驗收</t>
        </is>
      </c>
      <c r="C21" s="273" t="inlineStr">
        <is>
          <t>T3-V1</t>
        </is>
      </c>
      <c r="D21" s="274" t="inlineStr">
        <is>
          <t>功能驗收</t>
        </is>
      </c>
      <c r="E21" s="275" t="inlineStr">
        <is>
          <t>系統功能驗收確認</t>
        </is>
      </c>
      <c r="F21" s="275" t="inlineStr">
        <is>
          <t>驗收確認書</t>
        </is>
      </c>
      <c r="G21" s="272" t="inlineStr">
        <is>
          <t>Patty</t>
        </is>
      </c>
      <c r="H21" s="272" t="inlineStr">
        <is>
          <t>2026-10-15</t>
        </is>
      </c>
      <c r="I21" s="267" t="n"/>
      <c r="J21" s="268">
        <f>IF(I21&lt;&gt;"", IF(I21&gt;DATEVALUE(H21),"🔴 逾期 "&amp;(I21-DATEVALUE(H21))&amp;"天", IF(DATEVALUE(H21)&gt;I21,"🟢 提前 "&amp;(DATEVALUE(H21)-I21)&amp;"天","🟡 準時完成")), IF((DATEVALUE(H21)-TODAY())&lt;=3,"🟡 接近截止（"&amp;(DATEVALUE(H21)-TODAY())&amp;"天）", IF(TODAY()&gt;DATEVALUE(H21),"🔴 逾期 "&amp;(TODAY()-DATEVALUE(H21))&amp;"天（未完成）","🟢 " &amp;(DATEVALUE(H21)-TODAY())&amp;"天後到期")))</f>
        <v/>
      </c>
      <c r="K21" s="276" t="n">
        <v>0</v>
      </c>
      <c r="L21" s="272" t="n"/>
      <c r="M21" s="270" t="n"/>
      <c r="N21" s="245" t="n"/>
      <c r="O21" s="245" t="n"/>
    </row>
    <row r="22" ht="18" customHeight="1" s="195">
      <c r="A22" s="305" t="inlineStr">
        <is>
          <t>文件化與知識傳承</t>
        </is>
      </c>
      <c r="B22" s="197" t="n"/>
      <c r="C22" s="197" t="n"/>
      <c r="D22" s="197" t="n"/>
      <c r="E22" s="197" t="n"/>
      <c r="F22" s="197" t="n"/>
      <c r="G22" s="197" t="n"/>
      <c r="H22" s="197" t="n"/>
      <c r="I22" s="197" t="n"/>
      <c r="J22" s="197" t="n"/>
      <c r="K22" s="197" t="n"/>
      <c r="L22" s="198" t="n"/>
    </row>
    <row r="23" ht="39.75" customHeight="1" s="195">
      <c r="A23" s="272" t="inlineStr">
        <is>
          <t>文件化與知識傳承</t>
        </is>
      </c>
      <c r="B23" s="272" t="inlineStr">
        <is>
          <t>文件編寫</t>
        </is>
      </c>
      <c r="C23" s="273" t="inlineStr">
        <is>
          <t>T3-Doc1</t>
        </is>
      </c>
      <c r="D23" s="274" t="inlineStr">
        <is>
          <t>操作手冊</t>
        </is>
      </c>
      <c r="E23" s="275" t="inlineStr">
        <is>
          <t>使用者操作手冊編寫</t>
        </is>
      </c>
      <c r="F23" s="275" t="inlineStr">
        <is>
          <t>操作手冊文件</t>
        </is>
      </c>
      <c r="G23" s="272" t="inlineStr">
        <is>
          <t>Patty</t>
        </is>
      </c>
      <c r="H23" s="272" t="inlineStr">
        <is>
          <t>2026-10-18</t>
        </is>
      </c>
      <c r="I23" s="267" t="n"/>
      <c r="J23" s="268">
        <f>IF(I23&lt;&gt;"", IF(I23&gt;DATEVALUE(H23),"🔴 逾期 "&amp;(I23-DATEVALUE(H23))&amp;"天", IF(DATEVALUE(H23)&gt;I23,"🟢 提前 "&amp;(DATEVALUE(H23)-I23)&amp;"天","🟡 準時完成")), IF((DATEVALUE(H23)-TODAY())&lt;=3,"🟡 接近截止（"&amp;(DATEVALUE(H23)-TODAY())&amp;"天）", IF(TODAY()&gt;DATEVALUE(H23),"🔴 逾期 "&amp;(TODAY()-DATEVALUE(H23))&amp;"天（未完成）","🟢 " &amp;(DATEVALUE(H23)-TODAY())&amp;"天後到期")))</f>
        <v/>
      </c>
      <c r="K23" s="276" t="n">
        <v>0</v>
      </c>
      <c r="L23" s="272" t="n"/>
      <c r="M23" s="270" t="n"/>
      <c r="N23" s="245" t="n"/>
      <c r="O23" s="245" t="n"/>
    </row>
    <row r="24" ht="39.75" customHeight="1" s="195">
      <c r="A24" s="272" t="inlineStr">
        <is>
          <t>文件化與知識傳承</t>
        </is>
      </c>
      <c r="B24" s="272" t="inlineStr">
        <is>
          <t>文件編寫</t>
        </is>
      </c>
      <c r="C24" s="273" t="inlineStr">
        <is>
          <t>T3-Doc2</t>
        </is>
      </c>
      <c r="D24" s="274" t="inlineStr">
        <is>
          <t>管理者SOP</t>
        </is>
      </c>
      <c r="E24" s="275" t="inlineStr">
        <is>
          <t>系統管理者標準程序</t>
        </is>
      </c>
      <c r="F24" s="275" t="inlineStr">
        <is>
          <t>管理者SOP文件</t>
        </is>
      </c>
      <c r="G24" s="272" t="inlineStr">
        <is>
          <t>Patty</t>
        </is>
      </c>
      <c r="H24" s="272" t="inlineStr">
        <is>
          <t>2026-10-22</t>
        </is>
      </c>
      <c r="I24" s="267" t="n"/>
      <c r="J24" s="268">
        <f>IF(I24&lt;&gt;"", IF(I24&gt;DATEVALUE(H24),"🔴 逾期 "&amp;(I24-DATEVALUE(H24))&amp;"天", IF(DATEVALUE(H24)&gt;I24,"🟢 提前 "&amp;(DATEVALUE(H24)-I24)&amp;"天","🟡 準時完成")), IF((DATEVALUE(H24)-TODAY())&lt;=3,"🟡 接近截止（"&amp;(DATEVALUE(H24)-TODAY())&amp;"天）", IF(TODAY()&gt;DATEVALUE(H24),"🔴 逾期 "&amp;(TODAY()-DATEVALUE(H24))&amp;"天（未完成）","🟢 " &amp;(DATEVALUE(H24)-TODAY())&amp;"天後到期")))</f>
        <v/>
      </c>
      <c r="K24" s="276" t="n">
        <v>0</v>
      </c>
      <c r="L24" s="272" t="n"/>
      <c r="M24" s="270" t="n"/>
      <c r="N24" s="245" t="n"/>
      <c r="O24" s="245" t="n"/>
    </row>
  </sheetData>
  <mergeCells count="9">
    <mergeCell ref="A20:L20"/>
    <mergeCell ref="A2:L2"/>
    <mergeCell ref="A10:L10"/>
    <mergeCell ref="A7:L7"/>
    <mergeCell ref="A1:L1"/>
    <mergeCell ref="A14:L14"/>
    <mergeCell ref="A22:L22"/>
    <mergeCell ref="A18:L18"/>
    <mergeCell ref="A4:L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O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12" customWidth="1" style="194" min="1" max="1"/>
    <col width="18" customWidth="1" style="194" min="2" max="2"/>
    <col width="10" customWidth="1" style="194" min="3" max="3"/>
    <col width="26" customWidth="1" style="194" min="4" max="4"/>
    <col width="38" customWidth="1" style="194" min="5" max="5"/>
    <col width="26" customWidth="1" style="194" min="6" max="6"/>
    <col width="10" customWidth="1" style="194" min="7" max="7"/>
    <col width="13" customWidth="1" style="194" min="8" max="9"/>
    <col width="22" customWidth="1" style="194" min="10" max="10"/>
    <col width="9" customWidth="1" style="194" min="11" max="11"/>
    <col width="36" customWidth="1" style="194" min="12" max="12"/>
    <col width="35" customWidth="1" style="194" min="13" max="14"/>
    <col width="30" customWidth="1" style="194" min="15" max="15"/>
  </cols>
  <sheetData>
    <row r="1" ht="24" customHeight="1" s="195">
      <c r="A1" s="283" t="inlineStr">
        <is>
          <t>T4開發計劃｜設備預約系統</t>
        </is>
      </c>
    </row>
    <row r="2" ht="15.75" customHeight="1" s="195">
      <c r="A2" s="284" t="inlineStr">
        <is>
          <t>負責人：Patty　｜　建立日期：2026-07-31</t>
        </is>
      </c>
      <c r="M2" s="261" t="inlineStr">
        <is>
          <t>▸ 請填入實際檔案路徑或 SharePoint 連結</t>
        </is>
      </c>
      <c r="N2" s="237" t="inlineStr">
        <is>
          <t>▸ 本週的關鍵技術判斷？為什麼這樣決定？</t>
        </is>
      </c>
      <c r="O2" s="237" t="inlineStr">
        <is>
          <t>▸ 本週否決過AI的哪個建議？為什麼？</t>
        </is>
      </c>
    </row>
    <row r="3" ht="19.5" customHeight="1" s="195">
      <c r="A3" s="262" t="inlineStr">
        <is>
          <t>階段</t>
        </is>
      </c>
      <c r="B3" s="262" t="inlineStr">
        <is>
          <t>子階段</t>
        </is>
      </c>
      <c r="C3" s="262" t="inlineStr">
        <is>
          <t>任務編號</t>
        </is>
      </c>
      <c r="D3" s="262" t="inlineStr">
        <is>
          <t>任務名稱</t>
        </is>
      </c>
      <c r="E3" s="262" t="inlineStr">
        <is>
          <t>任務說明</t>
        </is>
      </c>
      <c r="F3" s="262" t="inlineStr">
        <is>
          <t>交付產出</t>
        </is>
      </c>
      <c r="G3" s="262" t="inlineStr">
        <is>
          <t>負責人</t>
        </is>
      </c>
      <c r="H3" s="262" t="inlineStr">
        <is>
          <t>預計完成日</t>
        </is>
      </c>
      <c r="I3" s="262" t="inlineStr">
        <is>
          <t>實際完成日</t>
        </is>
      </c>
      <c r="J3" s="262" t="inlineStr">
        <is>
          <t>開發狀態</t>
        </is>
      </c>
      <c r="K3" s="262" t="inlineStr">
        <is>
          <t>進度(%)</t>
        </is>
      </c>
      <c r="L3" s="262" t="inlineStr">
        <is>
          <t>備註</t>
        </is>
      </c>
      <c r="M3" s="238" t="inlineStr">
        <is>
          <t>交付路徑</t>
        </is>
      </c>
      <c r="N3" s="239" t="inlineStr">
        <is>
          <t>關鍵判斷</t>
        </is>
      </c>
      <c r="O3" s="239" t="inlineStr">
        <is>
          <t>否決AI記錄</t>
        </is>
      </c>
    </row>
    <row r="4" ht="18" customHeight="1" s="195">
      <c r="A4" s="285" t="inlineStr">
        <is>
          <t>系統架構設計</t>
        </is>
      </c>
      <c r="B4" s="197" t="n"/>
      <c r="C4" s="197" t="n"/>
      <c r="D4" s="197" t="n"/>
      <c r="E4" s="197" t="n"/>
      <c r="F4" s="197" t="n"/>
      <c r="G4" s="197" t="n"/>
      <c r="H4" s="197" t="n"/>
      <c r="I4" s="197" t="n"/>
      <c r="J4" s="197" t="n"/>
      <c r="K4" s="197" t="n"/>
      <c r="L4" s="198" t="n"/>
    </row>
    <row r="5" ht="39.75" customHeight="1" s="195">
      <c r="A5" s="272" t="inlineStr">
        <is>
          <t>系統架構設計</t>
        </is>
      </c>
      <c r="B5" s="272" t="inlineStr">
        <is>
          <t>架構規劃</t>
        </is>
      </c>
      <c r="C5" s="273" t="inlineStr">
        <is>
          <t>T4-A1</t>
        </is>
      </c>
      <c r="D5" s="274" t="inlineStr">
        <is>
          <t>系統架構設計</t>
        </is>
      </c>
      <c r="E5" s="275" t="inlineStr">
        <is>
          <t>設備預約系統整體架構設計</t>
        </is>
      </c>
      <c r="F5" s="275" t="inlineStr">
        <is>
          <t>系統架構文件</t>
        </is>
      </c>
      <c r="G5" s="272" t="inlineStr">
        <is>
          <t>Patty</t>
        </is>
      </c>
      <c r="H5" s="272" t="inlineStr">
        <is>
          <t>2026-08-25</t>
        </is>
      </c>
      <c r="I5" s="267" t="n"/>
      <c r="J5" s="268">
        <f>IF(I5&lt;&gt;"", IF(I5&gt;DATEVALUE(H5),"🔴 逾期 "&amp;(I5-DATEVALUE(H5))&amp;"天", IF(DATEVALUE(H5)&gt;I5,"🟢 提前 "&amp;(DATEVALUE(H5)-I5)&amp;"天","🟡 準時完成")), IF((DATEVALUE(H5)-TODAY())&lt;=3,"🟡 接近截止（"&amp;(DATEVALUE(H5)-TODAY())&amp;"天）", IF(TODAY()&gt;DATEVALUE(H5),"🔴 逾期 "&amp;(TODAY()-DATEVALUE(H5))&amp;"天（未完成）","🟢 " &amp;(DATEVALUE(H5)-TODAY())&amp;"天後到期")))</f>
        <v/>
      </c>
      <c r="K5" s="276" t="n">
        <v>0</v>
      </c>
      <c r="L5" s="272" t="n"/>
      <c r="M5" s="270" t="n"/>
      <c r="N5" s="245" t="n"/>
      <c r="O5" s="245" t="n"/>
    </row>
    <row r="6" ht="18" customHeight="1" s="195">
      <c r="A6" s="295" t="inlineStr">
        <is>
          <t>系統流程設計</t>
        </is>
      </c>
      <c r="B6" s="197" t="n"/>
      <c r="C6" s="197" t="n"/>
      <c r="D6" s="197" t="n"/>
      <c r="E6" s="197" t="n"/>
      <c r="F6" s="197" t="n"/>
      <c r="G6" s="197" t="n"/>
      <c r="H6" s="197" t="n"/>
      <c r="I6" s="197" t="n"/>
      <c r="J6" s="197" t="n"/>
      <c r="K6" s="197" t="n"/>
      <c r="L6" s="198" t="n"/>
    </row>
    <row r="7" ht="39.75" customHeight="1" s="195">
      <c r="A7" s="272" t="inlineStr">
        <is>
          <t>系統流程設計</t>
        </is>
      </c>
      <c r="B7" s="272" t="inlineStr">
        <is>
          <t>流程設計</t>
        </is>
      </c>
      <c r="C7" s="273" t="inlineStr">
        <is>
          <t>T4-B1</t>
        </is>
      </c>
      <c r="D7" s="274" t="inlineStr">
        <is>
          <t>預約流程設計</t>
        </is>
      </c>
      <c r="E7" s="275" t="inlineStr">
        <is>
          <t>設備預約取消與排程流程設計</t>
        </is>
      </c>
      <c r="F7" s="275" t="inlineStr">
        <is>
          <t>預約流程圖</t>
        </is>
      </c>
      <c r="G7" s="272" t="inlineStr">
        <is>
          <t>Patty</t>
        </is>
      </c>
      <c r="H7" s="272" t="inlineStr">
        <is>
          <t>2026-09-01</t>
        </is>
      </c>
      <c r="I7" s="267" t="n"/>
      <c r="J7" s="268">
        <f>IF(I7&lt;&gt;"", IF(I7&gt;DATEVALUE(H7),"🔴 逾期 "&amp;(I7-DATEVALUE(H7))&amp;"天", IF(DATEVALUE(H7)&gt;I7,"🟢 提前 "&amp;(DATEVALUE(H7)-I7)&amp;"天","🟡 準時完成")), IF((DATEVALUE(H7)-TODAY())&lt;=3,"🟡 接近截止（"&amp;(DATEVALUE(H7)-TODAY())&amp;"天）", IF(TODAY()&gt;DATEVALUE(H7),"🔴 逾期 "&amp;(TODAY()-DATEVALUE(H7))&amp;"天（未完成）","🟢 " &amp;(DATEVALUE(H7)-TODAY())&amp;"天後到期")))</f>
        <v/>
      </c>
      <c r="K7" s="276" t="n">
        <v>0</v>
      </c>
      <c r="L7" s="272" t="n"/>
      <c r="M7" s="270" t="n"/>
      <c r="N7" s="245" t="n"/>
      <c r="O7" s="245" t="n"/>
    </row>
    <row r="8" ht="18" customHeight="1" s="195">
      <c r="A8" s="302" t="inlineStr">
        <is>
          <t>知識工程與需求訪談</t>
        </is>
      </c>
      <c r="B8" s="197" t="n"/>
      <c r="C8" s="197" t="n"/>
      <c r="D8" s="197" t="n"/>
      <c r="E8" s="197" t="n"/>
      <c r="F8" s="197" t="n"/>
      <c r="G8" s="197" t="n"/>
      <c r="H8" s="197" t="n"/>
      <c r="I8" s="197" t="n"/>
      <c r="J8" s="197" t="n"/>
      <c r="K8" s="197" t="n"/>
      <c r="L8" s="198" t="n"/>
    </row>
    <row r="9" ht="39.75" customHeight="1" s="195">
      <c r="A9" s="272" t="inlineStr">
        <is>
          <t>知識工程與需求訪談</t>
        </is>
      </c>
      <c r="B9" s="272" t="inlineStr">
        <is>
          <t>需求訪談</t>
        </is>
      </c>
      <c r="C9" s="273" t="inlineStr">
        <is>
          <t>T4-K1</t>
        </is>
      </c>
      <c r="D9" s="274" t="inlineStr">
        <is>
          <t>使用者訪談</t>
        </is>
      </c>
      <c r="E9" s="275" t="inlineStr">
        <is>
          <t>工程師、管理者需求訪談</t>
        </is>
      </c>
      <c r="F9" s="275" t="inlineStr">
        <is>
          <t>訪談紀錄</t>
        </is>
      </c>
      <c r="G9" s="272" t="inlineStr">
        <is>
          <t>Patty</t>
        </is>
      </c>
      <c r="H9" s="272" t="inlineStr">
        <is>
          <t>2026-08-18</t>
        </is>
      </c>
      <c r="I9" s="267" t="n"/>
      <c r="J9" s="268">
        <f>IF(I9&lt;&gt;"", IF(I9&gt;DATEVALUE(H9),"🔴 逾期 "&amp;(I9-DATEVALUE(H9))&amp;"天", IF(DATEVALUE(H9)&gt;I9,"🟢 提前 "&amp;(DATEVALUE(H9)-I9)&amp;"天","🟡 準時完成")), IF((DATEVALUE(H9)-TODAY())&lt;=3,"🟡 接近截止（"&amp;(DATEVALUE(H9)-TODAY())&amp;"天）", IF(TODAY()&gt;DATEVALUE(H9),"🔴 逾期 "&amp;(TODAY()-DATEVALUE(H9))&amp;"天（未完成）","🟢 " &amp;(DATEVALUE(H9)-TODAY())&amp;"天後到期")))</f>
        <v/>
      </c>
      <c r="K9" s="276" t="n">
        <v>0</v>
      </c>
      <c r="L9" s="272" t="n"/>
      <c r="M9" s="270" t="n"/>
      <c r="N9" s="245" t="n"/>
      <c r="O9" s="245" t="n"/>
    </row>
    <row r="10" ht="39.75" customHeight="1" s="195">
      <c r="A10" s="272" t="inlineStr">
        <is>
          <t>知識工程與需求訪談</t>
        </is>
      </c>
      <c r="B10" s="272" t="inlineStr">
        <is>
          <t>問題收集</t>
        </is>
      </c>
      <c r="C10" s="273" t="inlineStr">
        <is>
          <t>T4-K2</t>
        </is>
      </c>
      <c r="D10" s="274" t="inlineStr">
        <is>
          <t>現有問題收集</t>
        </is>
      </c>
      <c r="E10" s="275" t="inlineStr">
        <is>
          <t>現有預約問題與痛點收集</t>
        </is>
      </c>
      <c r="F10" s="275" t="inlineStr">
        <is>
          <t>問題分析報告</t>
        </is>
      </c>
      <c r="G10" s="272" t="inlineStr">
        <is>
          <t>Patty</t>
        </is>
      </c>
      <c r="H10" s="272" t="inlineStr">
        <is>
          <t>2026-08-22</t>
        </is>
      </c>
      <c r="I10" s="267" t="n"/>
      <c r="J10" s="268">
        <f>IF(I10&lt;&gt;"", IF(I10&gt;DATEVALUE(H10),"🔴 逾期 "&amp;(I10-DATEVALUE(H10))&amp;"天", IF(DATEVALUE(H10)&gt;I10,"🟢 提前 "&amp;(DATEVALUE(H10)-I10)&amp;"天","🟡 準時完成")), IF((DATEVALUE(H10)-TODAY())&lt;=3,"🟡 接近截止（"&amp;(DATEVALUE(H10)-TODAY())&amp;"天）", IF(TODAY()&gt;DATEVALUE(H10),"🔴 逾期 "&amp;(TODAY()-DATEVALUE(H10))&amp;"天（未完成）","🟢 " &amp;(DATEVALUE(H10)-TODAY())&amp;"天後到期")))</f>
        <v/>
      </c>
      <c r="K10" s="276" t="n">
        <v>0</v>
      </c>
      <c r="L10" s="272" t="n"/>
      <c r="M10" s="270" t="n"/>
      <c r="N10" s="245" t="n"/>
      <c r="O10" s="245" t="n"/>
    </row>
    <row r="11" ht="18" customHeight="1" s="195">
      <c r="A11" s="271" t="inlineStr">
        <is>
          <t>開發現迭代任務</t>
        </is>
      </c>
      <c r="B11" s="197" t="n"/>
      <c r="C11" s="197" t="n"/>
      <c r="D11" s="197" t="n"/>
      <c r="E11" s="197" t="n"/>
      <c r="F11" s="197" t="n"/>
      <c r="G11" s="197" t="n"/>
      <c r="H11" s="197" t="n"/>
      <c r="I11" s="197" t="n"/>
      <c r="J11" s="197" t="n"/>
      <c r="K11" s="197" t="n"/>
      <c r="L11" s="198" t="n"/>
    </row>
    <row r="12" ht="39.75" customHeight="1" s="195">
      <c r="A12" s="272" t="inlineStr">
        <is>
          <t>開發現迭代任務</t>
        </is>
      </c>
      <c r="B12" s="272" t="inlineStr">
        <is>
          <t>開發任務</t>
        </is>
      </c>
      <c r="C12" s="273" t="inlineStr">
        <is>
          <t>T4-D1</t>
        </is>
      </c>
      <c r="D12" s="274" t="inlineStr">
        <is>
          <t>系統開發</t>
        </is>
      </c>
      <c r="E12" s="275" t="inlineStr">
        <is>
          <t>設備預約系統功能開發</t>
        </is>
      </c>
      <c r="F12" s="275" t="inlineStr">
        <is>
          <t>系統程式碼</t>
        </is>
      </c>
      <c r="G12" s="272" t="inlineStr">
        <is>
          <t>Patty</t>
        </is>
      </c>
      <c r="H12" s="272" t="inlineStr">
        <is>
          <t>2026-09-15</t>
        </is>
      </c>
      <c r="I12" s="267" t="n"/>
      <c r="J12" s="268">
        <f>IF(I12&lt;&gt;"", IF(I12&gt;DATEVALUE(H12),"🔴 逾期 "&amp;(I12-DATEVALUE(H12))&amp;"天", IF(DATEVALUE(H12)&gt;I12,"🟢 提前 "&amp;(DATEVALUE(H12)-I12)&amp;"天","🟡 準時完成")), IF((DATEVALUE(H12)-TODAY())&lt;=3,"🟡 接近截止（"&amp;(DATEVALUE(H12)-TODAY())&amp;"天）", IF(TODAY()&gt;DATEVALUE(H12),"🔴 逾期 "&amp;(TODAY()-DATEVALUE(H12))&amp;"天（未完成）","🟢 " &amp;(DATEVALUE(H12)-TODAY())&amp;"天後到期")))</f>
        <v/>
      </c>
      <c r="K12" s="276" t="n">
        <v>0</v>
      </c>
      <c r="L12" s="272" t="n"/>
      <c r="M12" s="270" t="n"/>
      <c r="N12" s="245" t="n"/>
      <c r="O12" s="245" t="n"/>
    </row>
    <row r="13" ht="39.75" customHeight="1" s="195">
      <c r="A13" s="272" t="inlineStr">
        <is>
          <t>開發現迭代任務</t>
        </is>
      </c>
      <c r="B13" s="272" t="inlineStr">
        <is>
          <t>開發任務</t>
        </is>
      </c>
      <c r="C13" s="273" t="inlineStr">
        <is>
          <t>T4-D2</t>
        </is>
      </c>
      <c r="D13" s="274" t="inlineStr">
        <is>
          <t>測試驗證</t>
        </is>
      </c>
      <c r="E13" s="275" t="inlineStr">
        <is>
          <t>系統測試與驗證</t>
        </is>
      </c>
      <c r="F13" s="275" t="inlineStr">
        <is>
          <t>測試報告</t>
        </is>
      </c>
      <c r="G13" s="272" t="inlineStr">
        <is>
          <t>Patty</t>
        </is>
      </c>
      <c r="H13" s="272" t="inlineStr">
        <is>
          <t>2026-09-22</t>
        </is>
      </c>
      <c r="I13" s="267" t="n"/>
      <c r="J13" s="268">
        <f>IF(I13&lt;&gt;"", IF(I13&gt;DATEVALUE(H13),"🔴 逾期 "&amp;(I13-DATEVALUE(H13))&amp;"天", IF(DATEVALUE(H13)&gt;I13,"🟢 提前 "&amp;(DATEVALUE(H13)-I13)&amp;"天","🟡 準時完成")), IF((DATEVALUE(H13)-TODAY())&lt;=3,"🟡 接近截止（"&amp;(DATEVALUE(H13)-TODAY())&amp;"天）", IF(TODAY()&gt;DATEVALUE(H13),"🔴 逾期 "&amp;(TODAY()-DATEVALUE(H13))&amp;"天（未完成）","🟢 " &amp;(DATEVALUE(H13)-TODAY())&amp;"天後到期")))</f>
        <v/>
      </c>
      <c r="K13" s="276" t="n">
        <v>0</v>
      </c>
      <c r="L13" s="272" t="n"/>
      <c r="M13" s="270" t="n"/>
      <c r="N13" s="245" t="n"/>
      <c r="O13" s="245" t="n"/>
    </row>
    <row r="14" ht="18" customHeight="1" s="195">
      <c r="A14" s="303" t="inlineStr">
        <is>
          <t>系統整合測試</t>
        </is>
      </c>
      <c r="B14" s="197" t="n"/>
      <c r="C14" s="197" t="n"/>
      <c r="D14" s="197" t="n"/>
      <c r="E14" s="197" t="n"/>
      <c r="F14" s="197" t="n"/>
      <c r="G14" s="197" t="n"/>
      <c r="H14" s="197" t="n"/>
      <c r="I14" s="197" t="n"/>
      <c r="J14" s="197" t="n"/>
      <c r="K14" s="197" t="n"/>
      <c r="L14" s="198" t="n"/>
    </row>
    <row r="15" ht="39.75" customHeight="1" s="195">
      <c r="A15" s="272" t="inlineStr">
        <is>
          <t>系統整合測試</t>
        </is>
      </c>
      <c r="B15" s="272" t="inlineStr">
        <is>
          <t>測試</t>
        </is>
      </c>
      <c r="C15" s="273" t="inlineStr">
        <is>
          <t>T4-T1</t>
        </is>
      </c>
      <c r="D15" s="274" t="inlineStr">
        <is>
          <t>UAT測試</t>
        </is>
      </c>
      <c r="E15" s="275" t="inlineStr">
        <is>
          <t>使用者驗收測試</t>
        </is>
      </c>
      <c r="F15" s="275" t="inlineStr">
        <is>
          <t>UAT測試報告</t>
        </is>
      </c>
      <c r="G15" s="272" t="inlineStr">
        <is>
          <t>Patty</t>
        </is>
      </c>
      <c r="H15" s="272" t="inlineStr">
        <is>
          <t>2026-09-28</t>
        </is>
      </c>
      <c r="I15" s="267" t="n"/>
      <c r="J15" s="268">
        <f>IF(I15&lt;&gt;"", IF(I15&gt;DATEVALUE(H15),"🔴 逾期 "&amp;(I15-DATEVALUE(H15))&amp;"天", IF(DATEVALUE(H15)&gt;I15,"🟢 提前 "&amp;(DATEVALUE(H15)-I15)&amp;"天","🟡 準時完成")), IF((DATEVALUE(H15)-TODAY())&lt;=3,"🟡 接近截止（"&amp;(DATEVALUE(H15)-TODAY())&amp;"天）", IF(TODAY()&gt;DATEVALUE(H15),"🔴 逾期 "&amp;(TODAY()-DATEVALUE(H15))&amp;"天（未完成）","🟢 " &amp;(DATEVALUE(H15)-TODAY())&amp;"天後到期")))</f>
        <v/>
      </c>
      <c r="K15" s="276" t="n">
        <v>0</v>
      </c>
      <c r="L15" s="272" t="n"/>
      <c r="M15" s="270" t="n"/>
      <c r="N15" s="245" t="n"/>
      <c r="O15" s="245" t="n"/>
    </row>
    <row r="16" ht="18" customHeight="1" s="195">
      <c r="A16" s="304" t="inlineStr">
        <is>
          <t>驗收交付標準</t>
        </is>
      </c>
      <c r="B16" s="197" t="n"/>
      <c r="C16" s="197" t="n"/>
      <c r="D16" s="197" t="n"/>
      <c r="E16" s="197" t="n"/>
      <c r="F16" s="197" t="n"/>
      <c r="G16" s="197" t="n"/>
      <c r="H16" s="197" t="n"/>
      <c r="I16" s="197" t="n"/>
      <c r="J16" s="197" t="n"/>
      <c r="K16" s="197" t="n"/>
      <c r="L16" s="198" t="n"/>
    </row>
    <row r="17" ht="39.75" customHeight="1" s="195">
      <c r="A17" s="272" t="inlineStr">
        <is>
          <t>驗收交付標準</t>
        </is>
      </c>
      <c r="B17" s="272" t="inlineStr">
        <is>
          <t>驗收</t>
        </is>
      </c>
      <c r="C17" s="273" t="inlineStr">
        <is>
          <t>T4-V1</t>
        </is>
      </c>
      <c r="D17" s="274" t="inlineStr">
        <is>
          <t>功能驗收</t>
        </is>
      </c>
      <c r="E17" s="275" t="inlineStr">
        <is>
          <t>系統功能驗收確認</t>
        </is>
      </c>
      <c r="F17" s="275" t="inlineStr">
        <is>
          <t>驗收確認書</t>
        </is>
      </c>
      <c r="G17" s="272" t="inlineStr">
        <is>
          <t>Patty</t>
        </is>
      </c>
      <c r="H17" s="272" t="inlineStr">
        <is>
          <t>2026-10-05</t>
        </is>
      </c>
      <c r="I17" s="267" t="n"/>
      <c r="J17" s="268">
        <f>IF(I17&lt;&gt;"", IF(I17&gt;DATEVALUE(H17),"🔴 逾期 "&amp;(I17-DATEVALUE(H17))&amp;"天", IF(DATEVALUE(H17)&gt;I17,"🟢 提前 "&amp;(DATEVALUE(H17)-I17)&amp;"天","🟡 準時完成")), IF((DATEVALUE(H17)-TODAY())&lt;=3,"🟡 接近截止（"&amp;(DATEVALUE(H17)-TODAY())&amp;"天）", IF(TODAY()&gt;DATEVALUE(H17),"🔴 逾期 "&amp;(TODAY()-DATEVALUE(H17))&amp;"天（未完成）","🟢 " &amp;(DATEVALUE(H17)-TODAY())&amp;"天後到期")))</f>
        <v/>
      </c>
      <c r="K17" s="276" t="n">
        <v>0</v>
      </c>
      <c r="L17" s="272" t="n"/>
      <c r="M17" s="270" t="n"/>
      <c r="N17" s="245" t="n"/>
      <c r="O17" s="245" t="n"/>
    </row>
    <row r="18" ht="18" customHeight="1" s="195">
      <c r="A18" s="305" t="inlineStr">
        <is>
          <t>文件化與知識傳承</t>
        </is>
      </c>
      <c r="B18" s="197" t="n"/>
      <c r="C18" s="197" t="n"/>
      <c r="D18" s="197" t="n"/>
      <c r="E18" s="197" t="n"/>
      <c r="F18" s="197" t="n"/>
      <c r="G18" s="197" t="n"/>
      <c r="H18" s="197" t="n"/>
      <c r="I18" s="197" t="n"/>
      <c r="J18" s="197" t="n"/>
      <c r="K18" s="197" t="n"/>
      <c r="L18" s="198" t="n"/>
    </row>
    <row r="19" ht="39.75" customHeight="1" s="195">
      <c r="A19" s="272" t="inlineStr">
        <is>
          <t>文件化與知識傳承</t>
        </is>
      </c>
      <c r="B19" s="272" t="inlineStr">
        <is>
          <t>文件更新</t>
        </is>
      </c>
      <c r="C19" s="273" t="inlineStr">
        <is>
          <t>T4-Doc1</t>
        </is>
      </c>
      <c r="D19" s="274" t="inlineStr">
        <is>
          <t>設備預約SOP更新</t>
        </is>
      </c>
      <c r="E19" s="275" t="inlineStr">
        <is>
          <t>設備預約標準程序更新</t>
        </is>
      </c>
      <c r="F19" s="275" t="inlineStr">
        <is>
          <t>設備預約SOP</t>
        </is>
      </c>
      <c r="G19" s="272" t="inlineStr">
        <is>
          <t>Patty</t>
        </is>
      </c>
      <c r="H19" s="272" t="inlineStr">
        <is>
          <t>2026-10-10</t>
        </is>
      </c>
      <c r="I19" s="267" t="n"/>
      <c r="J19" s="268">
        <f>IF(I19&lt;&gt;"", IF(I19&gt;DATEVALUE(H19),"🔴 逾期 "&amp;(I19-DATEVALUE(H19))&amp;"天", IF(DATEVALUE(H19)&gt;I19,"🟢 提前 "&amp;(DATEVALUE(H19)-I19)&amp;"天","🟡 準時完成")), IF((DATEVALUE(H19)-TODAY())&lt;=3,"🟡 接近截止（"&amp;(DATEVALUE(H19)-TODAY())&amp;"天）", IF(TODAY()&gt;DATEVALUE(H19),"🔴 逾期 "&amp;(TODAY()-DATEVALUE(H19))&amp;"天（未完成）","🟢 " &amp;(DATEVALUE(H19)-TODAY())&amp;"天後到期")))</f>
        <v/>
      </c>
      <c r="K19" s="276" t="n">
        <v>0</v>
      </c>
      <c r="L19" s="272" t="n"/>
      <c r="M19" s="270" t="n"/>
      <c r="N19" s="245" t="n"/>
      <c r="O19" s="245" t="n"/>
    </row>
    <row r="20" ht="39.75" customHeight="1" s="195">
      <c r="A20" s="272" t="inlineStr">
        <is>
          <t>文件化與知識傳承</t>
        </is>
      </c>
      <c r="B20" s="272" t="inlineStr">
        <is>
          <t>文件編寫</t>
        </is>
      </c>
      <c r="C20" s="273" t="inlineStr">
        <is>
          <t>T4-Doc2</t>
        </is>
      </c>
      <c r="D20" s="274" t="inlineStr">
        <is>
          <t>FAQ編寫</t>
        </is>
      </c>
      <c r="E20" s="275" t="inlineStr">
        <is>
          <t>常見問題與解答編寫</t>
        </is>
      </c>
      <c r="F20" s="275" t="inlineStr">
        <is>
          <t>FAQ文件</t>
        </is>
      </c>
      <c r="G20" s="272" t="inlineStr">
        <is>
          <t>Patty</t>
        </is>
      </c>
      <c r="H20" s="272" t="inlineStr">
        <is>
          <t>2026-10-12</t>
        </is>
      </c>
      <c r="I20" s="267" t="n"/>
      <c r="J20" s="268">
        <f>IF(I20&lt;&gt;"", IF(I20&gt;DATEVALUE(H20),"🔴 逾期 "&amp;(I20-DATEVALUE(H20))&amp;"天", IF(DATEVALUE(H20)&gt;I20,"🟢 提前 "&amp;(DATEVALUE(H20)-I20)&amp;"天","🟡 準時完成")), IF((DATEVALUE(H20)-TODAY())&lt;=3,"🟡 接近截止（"&amp;(DATEVALUE(H20)-TODAY())&amp;"天）", IF(TODAY()&gt;DATEVALUE(H20),"🔴 逾期 "&amp;(TODAY()-DATEVALUE(H20))&amp;"天（未完成）","🟢 " &amp;(DATEVALUE(H20)-TODAY())&amp;"天後到期")))</f>
        <v/>
      </c>
      <c r="K20" s="276" t="n">
        <v>0</v>
      </c>
      <c r="L20" s="272" t="n"/>
      <c r="M20" s="270" t="n"/>
      <c r="N20" s="245" t="n"/>
      <c r="O20" s="245" t="n"/>
    </row>
  </sheetData>
  <mergeCells count="9">
    <mergeCell ref="A2:L2"/>
    <mergeCell ref="A16:L16"/>
    <mergeCell ref="A11:L11"/>
    <mergeCell ref="A1:L1"/>
    <mergeCell ref="A8:L8"/>
    <mergeCell ref="A14:L14"/>
    <mergeCell ref="A6:L6"/>
    <mergeCell ref="A18:L18"/>
    <mergeCell ref="A4:L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O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12" customWidth="1" style="194" min="1" max="1"/>
    <col width="18" customWidth="1" style="194" min="2" max="2"/>
    <col width="10" customWidth="1" style="194" min="3" max="3"/>
    <col width="26" customWidth="1" style="194" min="4" max="4"/>
    <col width="38" customWidth="1" style="194" min="5" max="5"/>
    <col width="26" customWidth="1" style="194" min="6" max="6"/>
    <col width="10" customWidth="1" style="194" min="7" max="7"/>
    <col width="13" customWidth="1" style="194" min="8" max="9"/>
    <col width="22" customWidth="1" style="194" min="10" max="10"/>
    <col width="9" customWidth="1" style="194" min="11" max="11"/>
    <col width="36" customWidth="1" style="194" min="12" max="12"/>
    <col width="35" customWidth="1" style="194" min="13" max="14"/>
    <col width="30" customWidth="1" style="194" min="15" max="15"/>
  </cols>
  <sheetData>
    <row r="1" ht="24" customHeight="1" s="195">
      <c r="A1" s="283" t="inlineStr">
        <is>
          <t>T5開發計劃｜KM資料庫優化</t>
        </is>
      </c>
    </row>
    <row r="2" ht="15.75" customHeight="1" s="195">
      <c r="A2" s="284" t="inlineStr">
        <is>
          <t>負責人：Patty, Anderson　｜　建立日期：2026-07-31</t>
        </is>
      </c>
      <c r="M2" s="261" t="inlineStr">
        <is>
          <t>▸ 請填入實際檔案路徑或 SharePoint 連結</t>
        </is>
      </c>
      <c r="N2" s="237" t="inlineStr">
        <is>
          <t>▸ 本週的關鍵技術判斷？為什麼這樣決定？</t>
        </is>
      </c>
      <c r="O2" s="237" t="inlineStr">
        <is>
          <t>▸ 本週否決過AI的哪個建議？為什麼？</t>
        </is>
      </c>
    </row>
    <row r="3" ht="19.5" customHeight="1" s="195">
      <c r="A3" s="262" t="inlineStr">
        <is>
          <t>階段</t>
        </is>
      </c>
      <c r="B3" s="262" t="inlineStr">
        <is>
          <t>子階段</t>
        </is>
      </c>
      <c r="C3" s="262" t="inlineStr">
        <is>
          <t>任務編號</t>
        </is>
      </c>
      <c r="D3" s="262" t="inlineStr">
        <is>
          <t>任務名稱</t>
        </is>
      </c>
      <c r="E3" s="262" t="inlineStr">
        <is>
          <t>任務說明</t>
        </is>
      </c>
      <c r="F3" s="262" t="inlineStr">
        <is>
          <t>交付產出</t>
        </is>
      </c>
      <c r="G3" s="262" t="inlineStr">
        <is>
          <t>負責人</t>
        </is>
      </c>
      <c r="H3" s="262" t="inlineStr">
        <is>
          <t>預計完成日</t>
        </is>
      </c>
      <c r="I3" s="262" t="inlineStr">
        <is>
          <t>實際完成日</t>
        </is>
      </c>
      <c r="J3" s="262" t="inlineStr">
        <is>
          <t>開發狀態</t>
        </is>
      </c>
      <c r="K3" s="262" t="inlineStr">
        <is>
          <t>進度(%)</t>
        </is>
      </c>
      <c r="L3" s="262" t="inlineStr">
        <is>
          <t>備註</t>
        </is>
      </c>
      <c r="M3" s="238" t="inlineStr">
        <is>
          <t>交付路徑</t>
        </is>
      </c>
      <c r="N3" s="239" t="inlineStr">
        <is>
          <t>關鍵判斷</t>
        </is>
      </c>
      <c r="O3" s="239" t="inlineStr">
        <is>
          <t>否決AI記錄</t>
        </is>
      </c>
    </row>
    <row r="4" ht="18" customHeight="1" s="195">
      <c r="A4" s="285" t="inlineStr">
        <is>
          <t>系統架構設計</t>
        </is>
      </c>
      <c r="B4" s="197" t="n"/>
      <c r="C4" s="197" t="n"/>
      <c r="D4" s="197" t="n"/>
      <c r="E4" s="197" t="n"/>
      <c r="F4" s="197" t="n"/>
      <c r="G4" s="197" t="n"/>
      <c r="H4" s="197" t="n"/>
      <c r="I4" s="197" t="n"/>
      <c r="J4" s="197" t="n"/>
      <c r="K4" s="197" t="n"/>
      <c r="L4" s="198" t="n"/>
    </row>
    <row r="5" ht="39.75" customHeight="1" s="195">
      <c r="A5" s="306" t="inlineStr">
        <is>
          <t>系統架構設計</t>
        </is>
      </c>
      <c r="B5" s="306" t="inlineStr">
        <is>
          <t>架構規劃</t>
        </is>
      </c>
      <c r="C5" s="307" t="inlineStr">
        <is>
          <t>T5-A1</t>
        </is>
      </c>
      <c r="D5" s="308" t="inlineStr">
        <is>
          <t>知識架構規劃</t>
        </is>
      </c>
      <c r="E5" s="309" t="inlineStr">
        <is>
          <t>Neo4j/Qdrant混合知識架構規劃</t>
        </is>
      </c>
      <c r="F5" s="309" t="inlineStr">
        <is>
          <t>知識架構文件</t>
        </is>
      </c>
      <c r="G5" s="306" t="inlineStr">
        <is>
          <t>Jimmy</t>
        </is>
      </c>
      <c r="H5" s="306" t="inlineStr">
        <is>
          <t>2026-08-25</t>
        </is>
      </c>
      <c r="I5" s="267" t="n"/>
      <c r="J5" s="268">
        <f>IF(I5&lt;&gt;"", IF(I5&gt;DATEVALUE(H5),"🔴 逾期 "&amp;(I5-DATEVALUE(H5))&amp;"天", IF(DATEVALUE(H5)&gt;I5,"🟢 提前 "&amp;(DATEVALUE(H5)-I5)&amp;"天","🟡 準時完成")), IF((DATEVALUE(H5)-TODAY())&lt;=3,"🟡 接近截止（"&amp;(DATEVALUE(H5)-TODAY())&amp;"天）", IF(TODAY()&gt;DATEVALUE(H5),"🔴 逾期 "&amp;(TODAY()-DATEVALUE(H5))&amp;"天（未完成）","🟢 " &amp;(DATEVALUE(H5)-TODAY())&amp;"天後到期")))</f>
        <v/>
      </c>
      <c r="K5" s="310" t="n">
        <v>0</v>
      </c>
      <c r="L5" s="306" t="n"/>
      <c r="M5" s="270" t="n"/>
      <c r="N5" s="245" t="n"/>
      <c r="O5" s="245" t="n"/>
    </row>
    <row r="6" ht="39.75" customHeight="1" s="195">
      <c r="A6" s="263" t="inlineStr">
        <is>
          <t>系統架構設計</t>
        </is>
      </c>
      <c r="B6" s="263" t="inlineStr">
        <is>
          <t>效能設計</t>
        </is>
      </c>
      <c r="C6" s="264" t="inlineStr">
        <is>
          <t>T5-A2</t>
        </is>
      </c>
      <c r="D6" s="265" t="inlineStr">
        <is>
          <t>效能優化設計</t>
        </is>
      </c>
      <c r="E6" s="266" t="inlineStr">
        <is>
          <t>查詢效能優化架構設計</t>
        </is>
      </c>
      <c r="F6" s="266" t="inlineStr">
        <is>
          <t>效能優化方案文件</t>
        </is>
      </c>
      <c r="G6" s="263" t="inlineStr">
        <is>
          <t>Anderson</t>
        </is>
      </c>
      <c r="H6" s="263" t="inlineStr">
        <is>
          <t>2026-09-01</t>
        </is>
      </c>
      <c r="I6" s="267" t="n"/>
      <c r="J6" s="268">
        <f>IF(I6&lt;&gt;"", IF(I6&gt;DATEVALUE(H6),"🔴 逾期 "&amp;(I6-DATEVALUE(H6))&amp;"天", IF(DATEVALUE(H6)&gt;I6,"🟢 提前 "&amp;(DATEVALUE(H6)-I6)&amp;"天","🟡 準時完成")), IF((DATEVALUE(H6)-TODAY())&lt;=3,"🟡 接近截止（"&amp;(DATEVALUE(H6)-TODAY())&amp;"天）", IF(TODAY()&gt;DATEVALUE(H6),"🔴 逾期 "&amp;(TODAY()-DATEVALUE(H6))&amp;"天（未完成）","🟢 " &amp;(DATEVALUE(H6)-TODAY())&amp;"天後到期")))</f>
        <v/>
      </c>
      <c r="K6" s="269" t="n">
        <v>0</v>
      </c>
      <c r="L6" s="263" t="n"/>
      <c r="M6" s="270" t="n"/>
      <c r="N6" s="245" t="n"/>
      <c r="O6" s="245" t="n"/>
    </row>
    <row r="7" ht="18" customHeight="1" s="195">
      <c r="A7" s="295" t="inlineStr">
        <is>
          <t>系統流程設計</t>
        </is>
      </c>
      <c r="B7" s="197" t="n"/>
      <c r="C7" s="197" t="n"/>
      <c r="D7" s="197" t="n"/>
      <c r="E7" s="197" t="n"/>
      <c r="F7" s="197" t="n"/>
      <c r="G7" s="197" t="n"/>
      <c r="H7" s="197" t="n"/>
      <c r="I7" s="197" t="n"/>
      <c r="J7" s="197" t="n"/>
      <c r="K7" s="197" t="n"/>
      <c r="L7" s="198" t="n"/>
    </row>
    <row r="8" ht="39.75" customHeight="1" s="195">
      <c r="A8" s="272" t="inlineStr">
        <is>
          <t>系統流程設計</t>
        </is>
      </c>
      <c r="B8" s="272" t="inlineStr">
        <is>
          <t>流程設計</t>
        </is>
      </c>
      <c r="C8" s="273" t="inlineStr">
        <is>
          <t>T5-B1</t>
        </is>
      </c>
      <c r="D8" s="274" t="inlineStr">
        <is>
          <t>知識入庫流程設計</t>
        </is>
      </c>
      <c r="E8" s="275" t="inlineStr">
        <is>
          <t>知識入庫審核流程設計</t>
        </is>
      </c>
      <c r="F8" s="275" t="inlineStr">
        <is>
          <t>知識入庫流程圖</t>
        </is>
      </c>
      <c r="G8" s="272" t="inlineStr">
        <is>
          <t>Patty</t>
        </is>
      </c>
      <c r="H8" s="272" t="inlineStr">
        <is>
          <t>2026-09-05</t>
        </is>
      </c>
      <c r="I8" s="267" t="n"/>
      <c r="J8" s="268">
        <f>IF(I8&lt;&gt;"", IF(I8&gt;DATEVALUE(H8),"🔴 逾期 "&amp;(I8-DATEVALUE(H8))&amp;"天", IF(DATEVALUE(H8)&gt;I8,"🟢 提前 "&amp;(DATEVALUE(H8)-I8)&amp;"天","🟡 準時完成")), IF((DATEVALUE(H8)-TODAY())&lt;=3,"🟡 接近截止（"&amp;(DATEVALUE(H8)-TODAY())&amp;"天）", IF(TODAY()&gt;DATEVALUE(H8),"🔴 逾期 "&amp;(TODAY()-DATEVALUE(H8))&amp;"天（未完成）","🟢 " &amp;(DATEVALUE(H8)-TODAY())&amp;"天後到期")))</f>
        <v/>
      </c>
      <c r="K8" s="276" t="n">
        <v>0</v>
      </c>
      <c r="L8" s="272" t="n"/>
      <c r="M8" s="270" t="n"/>
      <c r="N8" s="245" t="n"/>
      <c r="O8" s="245" t="n"/>
    </row>
    <row r="9" ht="18" customHeight="1" s="195">
      <c r="A9" s="302" t="inlineStr">
        <is>
          <t>知識工程與需求訪談</t>
        </is>
      </c>
      <c r="B9" s="197" t="n"/>
      <c r="C9" s="197" t="n"/>
      <c r="D9" s="197" t="n"/>
      <c r="E9" s="197" t="n"/>
      <c r="F9" s="197" t="n"/>
      <c r="G9" s="197" t="n"/>
      <c r="H9" s="197" t="n"/>
      <c r="I9" s="197" t="n"/>
      <c r="J9" s="197" t="n"/>
      <c r="K9" s="197" t="n"/>
      <c r="L9" s="198" t="n"/>
    </row>
    <row r="10" ht="39.75" customHeight="1" s="195">
      <c r="A10" s="306" t="inlineStr">
        <is>
          <t>知識工程與需求訪談</t>
        </is>
      </c>
      <c r="B10" s="306" t="inlineStr">
        <is>
          <t>需求訪談</t>
        </is>
      </c>
      <c r="C10" s="307" t="inlineStr">
        <is>
          <t>T5-K1</t>
        </is>
      </c>
      <c r="D10" s="308" t="inlineStr">
        <is>
          <t>現有知識架構訪談</t>
        </is>
      </c>
      <c r="E10" s="309" t="inlineStr">
        <is>
          <t>Jimmy/Patty現有知識架構訪談</t>
        </is>
      </c>
      <c r="F10" s="309" t="inlineStr">
        <is>
          <t>訪談紀錄與分析報告</t>
        </is>
      </c>
      <c r="G10" s="306" t="inlineStr">
        <is>
          <t>Jimmy</t>
        </is>
      </c>
      <c r="H10" s="306" t="inlineStr">
        <is>
          <t>2026-08-15</t>
        </is>
      </c>
      <c r="I10" s="267" t="n"/>
      <c r="J10" s="268">
        <f>IF(I10&lt;&gt;"", IF(I10&gt;DATEVALUE(H10),"🔴 逾期 "&amp;(I10-DATEVALUE(H10))&amp;"天", IF(DATEVALUE(H10)&gt;I10,"🟢 提前 "&amp;(DATEVALUE(H10)-I10)&amp;"天","🟡 準時完成")), IF((DATEVALUE(H10)-TODAY())&lt;=3,"🟡 接近截止（"&amp;(DATEVALUE(H10)-TODAY())&amp;"天）", IF(TODAY()&gt;DATEVALUE(H10),"🔴 逾期 "&amp;(TODAY()-DATEVALUE(H10))&amp;"天（未完成）","🟢 " &amp;(DATEVALUE(H10)-TODAY())&amp;"天後到期")))</f>
        <v/>
      </c>
      <c r="K10" s="310" t="n">
        <v>0</v>
      </c>
      <c r="L10" s="306" t="n"/>
      <c r="M10" s="270" t="n"/>
      <c r="N10" s="245" t="n"/>
      <c r="O10" s="245" t="n"/>
    </row>
    <row r="11" ht="39.75" customHeight="1" s="195">
      <c r="A11" s="272" t="inlineStr">
        <is>
          <t>知識工程與需求訪談</t>
        </is>
      </c>
      <c r="B11" s="272" t="inlineStr">
        <is>
          <t>經驗收集</t>
        </is>
      </c>
      <c r="C11" s="273" t="inlineStr">
        <is>
          <t>T5-K2</t>
        </is>
      </c>
      <c r="D11" s="274" t="inlineStr">
        <is>
          <t>專家經驗收集</t>
        </is>
      </c>
      <c r="E11" s="275" t="inlineStr">
        <is>
          <t>Matt/Issa專家經驗收集</t>
        </is>
      </c>
      <c r="F11" s="275" t="inlineStr">
        <is>
          <t>專家經驗文件</t>
        </is>
      </c>
      <c r="G11" s="272" t="inlineStr">
        <is>
          <t>Patty</t>
        </is>
      </c>
      <c r="H11" s="272" t="inlineStr">
        <is>
          <t>2026-08-22</t>
        </is>
      </c>
      <c r="I11" s="267" t="n"/>
      <c r="J11" s="268">
        <f>IF(I11&lt;&gt;"", IF(I11&gt;DATEVALUE(H11),"🔴 逾期 "&amp;(I11-DATEVALUE(H11))&amp;"天", IF(DATEVALUE(H11)&gt;I11,"🟢 提前 "&amp;(DATEVALUE(H11)-I11)&amp;"天","🟡 準時完成")), IF((DATEVALUE(H11)-TODAY())&lt;=3,"🟡 接近截止（"&amp;(DATEVALUE(H11)-TODAY())&amp;"天）", IF(TODAY()&gt;DATEVALUE(H11),"🔴 逾期 "&amp;(TODAY()-DATEVALUE(H11))&amp;"天（未完成）","🟢 " &amp;(DATEVALUE(H11)-TODAY())&amp;"天後到期")))</f>
        <v/>
      </c>
      <c r="K11" s="276" t="n">
        <v>0</v>
      </c>
      <c r="L11" s="272" t="n"/>
      <c r="M11" s="270" t="n"/>
      <c r="N11" s="245" t="n"/>
      <c r="O11" s="245" t="n"/>
    </row>
    <row r="12" ht="39.75" customHeight="1" s="195">
      <c r="A12" s="263" t="inlineStr">
        <is>
          <t>知識工程與需求訪談</t>
        </is>
      </c>
      <c r="B12" s="263" t="inlineStr">
        <is>
          <t>缺口分析</t>
        </is>
      </c>
      <c r="C12" s="264" t="inlineStr">
        <is>
          <t>T5-K3</t>
        </is>
      </c>
      <c r="D12" s="265" t="inlineStr">
        <is>
          <t>知識缺口分析</t>
        </is>
      </c>
      <c r="E12" s="266" t="inlineStr">
        <is>
          <t>現有知識庫缺口分析</t>
        </is>
      </c>
      <c r="F12" s="266" t="inlineStr">
        <is>
          <t>知識缺口分析報告</t>
        </is>
      </c>
      <c r="G12" s="263" t="inlineStr">
        <is>
          <t>Anderson</t>
        </is>
      </c>
      <c r="H12" s="263" t="inlineStr">
        <is>
          <t>2026-08-28</t>
        </is>
      </c>
      <c r="I12" s="267" t="n"/>
      <c r="J12" s="268">
        <f>IF(I12&lt;&gt;"", IF(I12&gt;DATEVALUE(H12),"🔴 逾期 "&amp;(I12-DATEVALUE(H12))&amp;"天", IF(DATEVALUE(H12)&gt;I12,"🟢 提前 "&amp;(DATEVALUE(H12)-I12)&amp;"天","🟡 準時完成")), IF((DATEVALUE(H12)-TODAY())&lt;=3,"🟡 接近截止（"&amp;(DATEVALUE(H12)-TODAY())&amp;"天）", IF(TODAY()&gt;DATEVALUE(H12),"🔴 逾期 "&amp;(TODAY()-DATEVALUE(H12))&amp;"天（未完成）","🟢 " &amp;(DATEVALUE(H12)-TODAY())&amp;"天後到期")))</f>
        <v/>
      </c>
      <c r="K12" s="269" t="n">
        <v>0</v>
      </c>
      <c r="L12" s="263" t="n"/>
      <c r="M12" s="270" t="n"/>
      <c r="N12" s="245" t="n"/>
      <c r="O12" s="245" t="n"/>
    </row>
    <row r="13" ht="18" customHeight="1" s="195">
      <c r="A13" s="271" t="inlineStr">
        <is>
          <t>開發現迭代任務</t>
        </is>
      </c>
      <c r="B13" s="197" t="n"/>
      <c r="C13" s="197" t="n"/>
      <c r="D13" s="197" t="n"/>
      <c r="E13" s="197" t="n"/>
      <c r="F13" s="197" t="n"/>
      <c r="G13" s="197" t="n"/>
      <c r="H13" s="197" t="n"/>
      <c r="I13" s="197" t="n"/>
      <c r="J13" s="197" t="n"/>
      <c r="K13" s="197" t="n"/>
      <c r="L13" s="198" t="n"/>
    </row>
    <row r="14" ht="39.75" customHeight="1" s="195">
      <c r="A14" s="263" t="inlineStr">
        <is>
          <t>開發現迭代任務</t>
        </is>
      </c>
      <c r="B14" s="263" t="inlineStr">
        <is>
          <t>開發任務</t>
        </is>
      </c>
      <c r="C14" s="264" t="inlineStr">
        <is>
          <t>T5-D1</t>
        </is>
      </c>
      <c r="D14" s="265" t="inlineStr">
        <is>
          <t>Neo4j優化</t>
        </is>
      </c>
      <c r="E14" s="266" t="inlineStr">
        <is>
          <t>Neo4j圖資料庫優化</t>
        </is>
      </c>
      <c r="F14" s="266" t="inlineStr">
        <is>
          <t>優化後Neo4j系統</t>
        </is>
      </c>
      <c r="G14" s="263" t="inlineStr">
        <is>
          <t>Anderson</t>
        </is>
      </c>
      <c r="H14" s="263" t="inlineStr">
        <is>
          <t>2026-09-10</t>
        </is>
      </c>
      <c r="I14" s="267" t="n"/>
      <c r="J14" s="268">
        <f>IF(I14&lt;&gt;"", IF(I14&gt;DATEVALUE(H14),"🔴 逾期 "&amp;(I14-DATEVALUE(H14))&amp;"天", IF(DATEVALUE(H14)&gt;I14,"🟢 提前 "&amp;(DATEVALUE(H14)-I14)&amp;"天","🟡 準時完成")), IF((DATEVALUE(H14)-TODAY())&lt;=3,"🟡 接近截止（"&amp;(DATEVALUE(H14)-TODAY())&amp;"天）", IF(TODAY()&gt;DATEVALUE(H14),"🔴 逾期 "&amp;(TODAY()-DATEVALUE(H14))&amp;"天（未完成）","🟢 " &amp;(DATEVALUE(H14)-TODAY())&amp;"天後到期")))</f>
        <v/>
      </c>
      <c r="K14" s="269" t="n">
        <v>0</v>
      </c>
      <c r="L14" s="263" t="n"/>
      <c r="M14" s="270" t="n"/>
      <c r="N14" s="245" t="n"/>
      <c r="O14" s="245" t="n"/>
    </row>
    <row r="15" ht="39.75" customHeight="1" s="195">
      <c r="A15" s="272" t="inlineStr">
        <is>
          <t>開發現迭代任務</t>
        </is>
      </c>
      <c r="B15" s="272" t="inlineStr">
        <is>
          <t>開發任務</t>
        </is>
      </c>
      <c r="C15" s="273" t="inlineStr">
        <is>
          <t>T5-D2</t>
        </is>
      </c>
      <c r="D15" s="274" t="inlineStr">
        <is>
          <t>Qdrant優化</t>
        </is>
      </c>
      <c r="E15" s="275" t="inlineStr">
        <is>
          <t>Qdrant向量檢索優化</t>
        </is>
      </c>
      <c r="F15" s="275" t="inlineStr">
        <is>
          <t>優化後Qdrant系統</t>
        </is>
      </c>
      <c r="G15" s="272" t="inlineStr">
        <is>
          <t>Patty</t>
        </is>
      </c>
      <c r="H15" s="272" t="inlineStr">
        <is>
          <t>2026-09-15</t>
        </is>
      </c>
      <c r="I15" s="267" t="n"/>
      <c r="J15" s="268">
        <f>IF(I15&lt;&gt;"", IF(I15&gt;DATEVALUE(H15),"🔴 逾期 "&amp;(I15-DATEVALUE(H15))&amp;"天", IF(DATEVALUE(H15)&gt;I15,"🟢 提前 "&amp;(DATEVALUE(H15)-I15)&amp;"天","🟡 準時完成")), IF((DATEVALUE(H15)-TODAY())&lt;=3,"🟡 接近截止（"&amp;(DATEVALUE(H15)-TODAY())&amp;"天）", IF(TODAY()&gt;DATEVALUE(H15),"🔴 逾期 "&amp;(TODAY()-DATEVALUE(H15))&amp;"天（未完成）","🟢 " &amp;(DATEVALUE(H15)-TODAY())&amp;"天後到期")))</f>
        <v/>
      </c>
      <c r="K15" s="276" t="n">
        <v>0</v>
      </c>
      <c r="L15" s="272" t="n"/>
      <c r="M15" s="270" t="n"/>
      <c r="N15" s="245" t="n"/>
      <c r="O15" s="245" t="n"/>
    </row>
    <row r="16" ht="39.75" customHeight="1" s="195">
      <c r="A16" s="263" t="inlineStr">
        <is>
          <t>開發現迭代任務</t>
        </is>
      </c>
      <c r="B16" s="263" t="inlineStr">
        <is>
          <t>開發任務</t>
        </is>
      </c>
      <c r="C16" s="264" t="inlineStr">
        <is>
          <t>T5-D3</t>
        </is>
      </c>
      <c r="D16" s="265" t="inlineStr">
        <is>
          <t>系統整合</t>
        </is>
      </c>
      <c r="E16" s="266" t="inlineStr">
        <is>
          <t>Neo4j/Qdrant整合串接</t>
        </is>
      </c>
      <c r="F16" s="266" t="inlineStr">
        <is>
          <t>整合測試報告</t>
        </is>
      </c>
      <c r="G16" s="263" t="inlineStr">
        <is>
          <t>Anderson</t>
        </is>
      </c>
      <c r="H16" s="263" t="inlineStr">
        <is>
          <t>2026-09-22</t>
        </is>
      </c>
      <c r="I16" s="267" t="n"/>
      <c r="J16" s="268">
        <f>IF(I16&lt;&gt;"", IF(I16&gt;DATEVALUE(H16),"🔴 逾期 "&amp;(I16-DATEVALUE(H16))&amp;"天", IF(DATEVALUE(H16)&gt;I16,"🟢 提前 "&amp;(DATEVALUE(H16)-I16)&amp;"天","🟡 準時完成")), IF((DATEVALUE(H16)-TODAY())&lt;=3,"🟡 接近截止（"&amp;(DATEVALUE(H16)-TODAY())&amp;"天）", IF(TODAY()&gt;DATEVALUE(H16),"🔴 逾期 "&amp;(TODAY()-DATEVALUE(H16))&amp;"天（未完成）","🟢 " &amp;(DATEVALUE(H16)-TODAY())&amp;"天後到期")))</f>
        <v/>
      </c>
      <c r="K16" s="269" t="n">
        <v>0</v>
      </c>
      <c r="L16" s="263" t="n"/>
      <c r="M16" s="270" t="n"/>
      <c r="N16" s="245" t="n"/>
      <c r="O16" s="245" t="n"/>
    </row>
    <row r="17" ht="18" customHeight="1" s="195">
      <c r="A17" s="303" t="inlineStr">
        <is>
          <t>系統整合測試</t>
        </is>
      </c>
      <c r="B17" s="197" t="n"/>
      <c r="C17" s="197" t="n"/>
      <c r="D17" s="197" t="n"/>
      <c r="E17" s="197" t="n"/>
      <c r="F17" s="197" t="n"/>
      <c r="G17" s="197" t="n"/>
      <c r="H17" s="197" t="n"/>
      <c r="I17" s="197" t="n"/>
      <c r="J17" s="197" t="n"/>
      <c r="K17" s="197" t="n"/>
      <c r="L17" s="198" t="n"/>
    </row>
    <row r="18" ht="39.75" customHeight="1" s="195">
      <c r="A18" s="263" t="inlineStr">
        <is>
          <t>系統整合測試</t>
        </is>
      </c>
      <c r="B18" s="263" t="inlineStr">
        <is>
          <t>測試</t>
        </is>
      </c>
      <c r="C18" s="264" t="inlineStr">
        <is>
          <t>T5-T1</t>
        </is>
      </c>
      <c r="D18" s="265" t="inlineStr">
        <is>
          <t>效能測試</t>
        </is>
      </c>
      <c r="E18" s="266" t="inlineStr">
        <is>
          <t>優化後系統效能測試</t>
        </is>
      </c>
      <c r="F18" s="266" t="inlineStr">
        <is>
          <t>效能測試報告</t>
        </is>
      </c>
      <c r="G18" s="263" t="inlineStr">
        <is>
          <t>Anderson</t>
        </is>
      </c>
      <c r="H18" s="263" t="inlineStr">
        <is>
          <t>2026-09-28</t>
        </is>
      </c>
      <c r="I18" s="267" t="n"/>
      <c r="J18" s="268">
        <f>IF(I18&lt;&gt;"", IF(I18&gt;DATEVALUE(H18),"🔴 逾期 "&amp;(I18-DATEVALUE(H18))&amp;"天", IF(DATEVALUE(H18)&gt;I18,"🟢 提前 "&amp;(DATEVALUE(H18)-I18)&amp;"天","🟡 準時完成")), IF((DATEVALUE(H18)-TODAY())&lt;=3,"🟡 接近截止（"&amp;(DATEVALUE(H18)-TODAY())&amp;"天）", IF(TODAY()&gt;DATEVALUE(H18),"🔴 逾期 "&amp;(TODAY()-DATEVALUE(H18))&amp;"天（未完成）","🟢 " &amp;(DATEVALUE(H18)-TODAY())&amp;"天後到期")))</f>
        <v/>
      </c>
      <c r="K18" s="269" t="n">
        <v>0</v>
      </c>
      <c r="L18" s="263" t="n"/>
      <c r="M18" s="270" t="n"/>
      <c r="N18" s="245" t="n"/>
      <c r="O18" s="245" t="n"/>
    </row>
    <row r="19" ht="18" customHeight="1" s="195">
      <c r="A19" s="304" t="inlineStr">
        <is>
          <t>驗收交付標準</t>
        </is>
      </c>
      <c r="B19" s="197" t="n"/>
      <c r="C19" s="197" t="n"/>
      <c r="D19" s="197" t="n"/>
      <c r="E19" s="197" t="n"/>
      <c r="F19" s="197" t="n"/>
      <c r="G19" s="197" t="n"/>
      <c r="H19" s="197" t="n"/>
      <c r="I19" s="197" t="n"/>
      <c r="J19" s="197" t="n"/>
      <c r="K19" s="197" t="n"/>
      <c r="L19" s="198" t="n"/>
    </row>
    <row r="20" ht="39.75" customHeight="1" s="195">
      <c r="A20" s="272" t="inlineStr">
        <is>
          <t>驗收交付標準</t>
        </is>
      </c>
      <c r="B20" s="272" t="inlineStr">
        <is>
          <t>驗收</t>
        </is>
      </c>
      <c r="C20" s="273" t="inlineStr">
        <is>
          <t>T5-V1</t>
        </is>
      </c>
      <c r="D20" s="274" t="inlineStr">
        <is>
          <t>效能驗收</t>
        </is>
      </c>
      <c r="E20" s="275" t="inlineStr">
        <is>
          <t>查詢效能達標驗收</t>
        </is>
      </c>
      <c r="F20" s="275" t="inlineStr">
        <is>
          <t>驗收確認書</t>
        </is>
      </c>
      <c r="G20" s="272" t="inlineStr">
        <is>
          <t>Patty</t>
        </is>
      </c>
      <c r="H20" s="272" t="inlineStr">
        <is>
          <t>2026-10-05</t>
        </is>
      </c>
      <c r="I20" s="267" t="n"/>
      <c r="J20" s="268">
        <f>IF(I20&lt;&gt;"", IF(I20&gt;DATEVALUE(H20),"🔴 逾期 "&amp;(I20-DATEVALUE(H20))&amp;"天", IF(DATEVALUE(H20)&gt;I20,"🟢 提前 "&amp;(DATEVALUE(H20)-I20)&amp;"天","🟡 準時完成")), IF((DATEVALUE(H20)-TODAY())&lt;=3,"🟡 接近截止（"&amp;(DATEVALUE(H20)-TODAY())&amp;"天）", IF(TODAY()&gt;DATEVALUE(H20),"🔴 逾期 "&amp;(TODAY()-DATEVALUE(H20))&amp;"天（未完成）","🟢 " &amp;(DATEVALUE(H20)-TODAY())&amp;"天後到期")))</f>
        <v/>
      </c>
      <c r="K20" s="276" t="n">
        <v>0</v>
      </c>
      <c r="L20" s="272" t="n"/>
      <c r="M20" s="270" t="n"/>
      <c r="N20" s="245" t="n"/>
      <c r="O20" s="245" t="n"/>
    </row>
    <row r="21" ht="18" customHeight="1" s="195">
      <c r="A21" s="305" t="inlineStr">
        <is>
          <t>文件化與知識傳承</t>
        </is>
      </c>
      <c r="B21" s="197" t="n"/>
      <c r="C21" s="197" t="n"/>
      <c r="D21" s="197" t="n"/>
      <c r="E21" s="197" t="n"/>
      <c r="F21" s="197" t="n"/>
      <c r="G21" s="197" t="n"/>
      <c r="H21" s="197" t="n"/>
      <c r="I21" s="197" t="n"/>
      <c r="J21" s="197" t="n"/>
      <c r="K21" s="197" t="n"/>
      <c r="L21" s="198" t="n"/>
    </row>
    <row r="22" ht="39.75" customHeight="1" s="195">
      <c r="A22" s="263" t="inlineStr">
        <is>
          <t>文件化與知識傳承</t>
        </is>
      </c>
      <c r="B22" s="263" t="inlineStr">
        <is>
          <t>文件編寫</t>
        </is>
      </c>
      <c r="C22" s="264" t="inlineStr">
        <is>
          <t>T5-Doc1</t>
        </is>
      </c>
      <c r="D22" s="265" t="inlineStr">
        <is>
          <t>Neo4j知識圖譜操作手冊</t>
        </is>
      </c>
      <c r="E22" s="266" t="inlineStr">
        <is>
          <t>Neo4j操作與維護手冊</t>
        </is>
      </c>
      <c r="F22" s="266" t="inlineStr">
        <is>
          <t>Neo4j操作手冊</t>
        </is>
      </c>
      <c r="G22" s="263" t="inlineStr">
        <is>
          <t>Anderson</t>
        </is>
      </c>
      <c r="H22" s="263" t="inlineStr">
        <is>
          <t>2026-10-10</t>
        </is>
      </c>
      <c r="I22" s="267" t="n"/>
      <c r="J22" s="268">
        <f>IF(I22&lt;&gt;"", IF(I22&gt;DATEVALUE(H22),"🔴 逾期 "&amp;(I22-DATEVALUE(H22))&amp;"天", IF(DATEVALUE(H22)&gt;I22,"🟢 提前 "&amp;(DATEVALUE(H22)-I22)&amp;"天","🟡 準時完成")), IF((DATEVALUE(H22)-TODAY())&lt;=3,"🟡 接近截止（"&amp;(DATEVALUE(H22)-TODAY())&amp;"天）", IF(TODAY()&gt;DATEVALUE(H22),"🔴 逾期 "&amp;(TODAY()-DATEVALUE(H22))&amp;"天（未完成）","🟢 " &amp;(DATEVALUE(H22)-TODAY())&amp;"天後到期")))</f>
        <v/>
      </c>
      <c r="K22" s="269" t="n">
        <v>0</v>
      </c>
      <c r="L22" s="263" t="n"/>
      <c r="M22" s="270" t="n"/>
      <c r="N22" s="245" t="n"/>
      <c r="O22" s="245" t="n"/>
    </row>
    <row r="23" ht="39.75" customHeight="1" s="195">
      <c r="A23" s="272" t="inlineStr">
        <is>
          <t>文件化與知識傳承</t>
        </is>
      </c>
      <c r="B23" s="272" t="inlineStr">
        <is>
          <t>文件編寫</t>
        </is>
      </c>
      <c r="C23" s="273" t="inlineStr">
        <is>
          <t>T5-Doc2</t>
        </is>
      </c>
      <c r="D23" s="274" t="inlineStr">
        <is>
          <t>Qdrant向量檢索操作手冊</t>
        </is>
      </c>
      <c r="E23" s="275" t="inlineStr">
        <is>
          <t>Qdrant操作與維護手冊</t>
        </is>
      </c>
      <c r="F23" s="275" t="inlineStr">
        <is>
          <t>Qdrant操作手冊</t>
        </is>
      </c>
      <c r="G23" s="272" t="inlineStr">
        <is>
          <t>Patty</t>
        </is>
      </c>
      <c r="H23" s="272" t="inlineStr">
        <is>
          <t>2026-10-12</t>
        </is>
      </c>
      <c r="I23" s="267" t="n"/>
      <c r="J23" s="268">
        <f>IF(I23&lt;&gt;"", IF(I23&gt;DATEVALUE(H23),"🔴 逾期 "&amp;(I23-DATEVALUE(H23))&amp;"天", IF(DATEVALUE(H23)&gt;I23,"🟢 提前 "&amp;(DATEVALUE(H23)-I23)&amp;"天","🟡 準時完成")), IF((DATEVALUE(H23)-TODAY())&lt;=3,"🟡 接近截止（"&amp;(DATEVALUE(H23)-TODAY())&amp;"天）", IF(TODAY()&gt;DATEVALUE(H23),"🔴 逾期 "&amp;(TODAY()-DATEVALUE(H23))&amp;"天（未完成）","🟢 " &amp;(DATEVALUE(H23)-TODAY())&amp;"天後到期")))</f>
        <v/>
      </c>
      <c r="K23" s="276" t="n">
        <v>0</v>
      </c>
      <c r="L23" s="272" t="n"/>
      <c r="M23" s="270" t="n"/>
      <c r="N23" s="245" t="n"/>
      <c r="O23" s="245" t="n"/>
    </row>
    <row r="24" ht="39.75" customHeight="1" s="195">
      <c r="A24" s="306" t="inlineStr">
        <is>
          <t>文件化與知識傳承</t>
        </is>
      </c>
      <c r="B24" s="306" t="inlineStr">
        <is>
          <t>文件編寫</t>
        </is>
      </c>
      <c r="C24" s="307" t="inlineStr">
        <is>
          <t>T5-Doc3</t>
        </is>
      </c>
      <c r="D24" s="308" t="inlineStr">
        <is>
          <t>知識貢獻SOP</t>
        </is>
      </c>
      <c r="E24" s="309" t="inlineStr">
        <is>
          <t>知識入庫與貢獻標準程序</t>
        </is>
      </c>
      <c r="F24" s="309" t="inlineStr">
        <is>
          <t>知識貢獻SOP</t>
        </is>
      </c>
      <c r="G24" s="306" t="inlineStr">
        <is>
          <t>Jimmy</t>
        </is>
      </c>
      <c r="H24" s="306" t="inlineStr">
        <is>
          <t>2026-10-15</t>
        </is>
      </c>
      <c r="I24" s="267" t="n"/>
      <c r="J24" s="268">
        <f>IF(I24&lt;&gt;"", IF(I24&gt;DATEVALUE(H24),"🔴 逾期 "&amp;(I24-DATEVALUE(H24))&amp;"天", IF(DATEVALUE(H24)&gt;I24,"🟢 提前 "&amp;(DATEVALUE(H24)-I24)&amp;"天","🟡 準時完成")), IF((DATEVALUE(H24)-TODAY())&lt;=3,"🟡 接近截止（"&amp;(DATEVALUE(H24)-TODAY())&amp;"天）", IF(TODAY()&gt;DATEVALUE(H24),"🔴 逾期 "&amp;(TODAY()-DATEVALUE(H24))&amp;"天（未完成）","🟢 " &amp;(DATEVALUE(H24)-TODAY())&amp;"天後到期")))</f>
        <v/>
      </c>
      <c r="K24" s="310" t="n">
        <v>0</v>
      </c>
      <c r="L24" s="306" t="n"/>
      <c r="M24" s="270" t="n"/>
      <c r="N24" s="245" t="n"/>
      <c r="O24" s="245" t="n"/>
    </row>
  </sheetData>
  <mergeCells count="9">
    <mergeCell ref="A2:L2"/>
    <mergeCell ref="A7:L7"/>
    <mergeCell ref="A19:L19"/>
    <mergeCell ref="A1:L1"/>
    <mergeCell ref="A13:L13"/>
    <mergeCell ref="A17:L17"/>
    <mergeCell ref="A9:L9"/>
    <mergeCell ref="A21:L21"/>
    <mergeCell ref="A4:L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O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12" customWidth="1" style="194" min="1" max="1"/>
    <col width="18" customWidth="1" style="194" min="2" max="2"/>
    <col width="10" customWidth="1" style="194" min="3" max="3"/>
    <col width="26" customWidth="1" style="194" min="4" max="4"/>
    <col width="38" customWidth="1" style="194" min="5" max="5"/>
    <col width="26" customWidth="1" style="194" min="6" max="6"/>
    <col width="10" customWidth="1" style="194" min="7" max="7"/>
    <col width="13" customWidth="1" style="194" min="8" max="9"/>
    <col width="22" customWidth="1" style="194" min="10" max="10"/>
    <col width="9" customWidth="1" style="194" min="11" max="11"/>
    <col width="36" customWidth="1" style="194" min="12" max="12"/>
    <col width="35" customWidth="1" style="194" min="13" max="14"/>
    <col width="30" customWidth="1" style="194" min="15" max="15"/>
  </cols>
  <sheetData>
    <row r="1" ht="24" customHeight="1" s="195">
      <c r="A1" s="311" t="inlineStr">
        <is>
          <t>T6開發計劃｜LLM選型</t>
        </is>
      </c>
    </row>
    <row r="2" ht="15.75" customHeight="1" s="195">
      <c r="A2" s="284" t="inlineStr">
        <is>
          <t>負責人：Jimmy, Alf　｜　建立日期：2026-07-31</t>
        </is>
      </c>
      <c r="M2" s="261" t="inlineStr">
        <is>
          <t>▸ 請填入實際檔案路徑或 SharePoint 連結</t>
        </is>
      </c>
      <c r="N2" s="237" t="inlineStr">
        <is>
          <t>▸ 本週的關鍵技術判斷？為什麼這樣決定？</t>
        </is>
      </c>
      <c r="O2" s="237" t="inlineStr">
        <is>
          <t>▸ 本週否決過AI的哪個建議？為什麼？</t>
        </is>
      </c>
    </row>
    <row r="3" ht="19.5" customHeight="1" s="195">
      <c r="A3" s="262" t="inlineStr">
        <is>
          <t>階段</t>
        </is>
      </c>
      <c r="B3" s="262" t="inlineStr">
        <is>
          <t>子階段</t>
        </is>
      </c>
      <c r="C3" s="262" t="inlineStr">
        <is>
          <t>任務編號</t>
        </is>
      </c>
      <c r="D3" s="262" t="inlineStr">
        <is>
          <t>任務名稱</t>
        </is>
      </c>
      <c r="E3" s="262" t="inlineStr">
        <is>
          <t>任務說明</t>
        </is>
      </c>
      <c r="F3" s="262" t="inlineStr">
        <is>
          <t>交付產出</t>
        </is>
      </c>
      <c r="G3" s="262" t="inlineStr">
        <is>
          <t>負責人</t>
        </is>
      </c>
      <c r="H3" s="262" t="inlineStr">
        <is>
          <t>預計完成日</t>
        </is>
      </c>
      <c r="I3" s="262" t="inlineStr">
        <is>
          <t>實際完成日</t>
        </is>
      </c>
      <c r="J3" s="262" t="inlineStr">
        <is>
          <t>開發狀態</t>
        </is>
      </c>
      <c r="K3" s="262" t="inlineStr">
        <is>
          <t>進度(%)</t>
        </is>
      </c>
      <c r="L3" s="262" t="inlineStr">
        <is>
          <t>備註</t>
        </is>
      </c>
      <c r="M3" s="238" t="inlineStr">
        <is>
          <t>交付路徑</t>
        </is>
      </c>
      <c r="N3" s="239" t="inlineStr">
        <is>
          <t>關鍵判斷</t>
        </is>
      </c>
      <c r="O3" s="239" t="inlineStr">
        <is>
          <t>否決AI記錄</t>
        </is>
      </c>
    </row>
    <row r="4" ht="18" customHeight="1" s="195">
      <c r="A4" s="285" t="inlineStr">
        <is>
          <t>系統架構設計</t>
        </is>
      </c>
      <c r="B4" s="197" t="n"/>
      <c r="C4" s="197" t="n"/>
      <c r="D4" s="197" t="n"/>
      <c r="E4" s="197" t="n"/>
      <c r="F4" s="197" t="n"/>
      <c r="G4" s="197" t="n"/>
      <c r="H4" s="197" t="n"/>
      <c r="I4" s="197" t="n"/>
      <c r="J4" s="197" t="n"/>
      <c r="K4" s="197" t="n"/>
      <c r="L4" s="198" t="n"/>
    </row>
    <row r="5" ht="39.75" customHeight="1" s="195">
      <c r="A5" s="306" t="inlineStr">
        <is>
          <t>系統架構設計</t>
        </is>
      </c>
      <c r="B5" s="306" t="inlineStr">
        <is>
          <t>架構規劃</t>
        </is>
      </c>
      <c r="C5" s="307" t="inlineStr">
        <is>
          <t>T6-A1</t>
        </is>
      </c>
      <c r="D5" s="308" t="inlineStr">
        <is>
          <t>評估架構設計</t>
        </is>
      </c>
      <c r="E5" s="309" t="inlineStr">
        <is>
          <t>LLM評估指標與架構設計</t>
        </is>
      </c>
      <c r="F5" s="309" t="inlineStr">
        <is>
          <t>評估架構文件</t>
        </is>
      </c>
      <c r="G5" s="306" t="inlineStr">
        <is>
          <t>Jimmy</t>
        </is>
      </c>
      <c r="H5" s="306" t="inlineStr">
        <is>
          <t>2026-08-20</t>
        </is>
      </c>
      <c r="I5" s="267" t="n"/>
      <c r="J5" s="268">
        <f>IF(I5&lt;&gt;"", IF(I5&gt;DATEVALUE(H5),"🔴 逾期 "&amp;(I5-DATEVALUE(H5))&amp;"天", IF(DATEVALUE(H5)&gt;I5,"🟢 提前 "&amp;(DATEVALUE(H5)-I5)&amp;"天","🟡 準時完成")), IF((DATEVALUE(H5)-TODAY())&lt;=3,"🟡 接近截止（"&amp;(DATEVALUE(H5)-TODAY())&amp;"天）", IF(TODAY()&gt;DATEVALUE(H5),"🔴 逾期 "&amp;(TODAY()-DATEVALUE(H5))&amp;"天（未完成）","🟢 " &amp;(DATEVALUE(H5)-TODAY())&amp;"天後到期")))</f>
        <v/>
      </c>
      <c r="K5" s="310" t="n">
        <v>0</v>
      </c>
      <c r="L5" s="306" t="n"/>
      <c r="M5" s="270" t="n"/>
      <c r="N5" s="245" t="n"/>
      <c r="O5" s="245" t="n"/>
    </row>
    <row r="6" ht="18" customHeight="1" s="195">
      <c r="A6" s="295" t="inlineStr">
        <is>
          <t>系統流程設計</t>
        </is>
      </c>
      <c r="B6" s="197" t="n"/>
      <c r="C6" s="197" t="n"/>
      <c r="D6" s="197" t="n"/>
      <c r="E6" s="197" t="n"/>
      <c r="F6" s="197" t="n"/>
      <c r="G6" s="197" t="n"/>
      <c r="H6" s="197" t="n"/>
      <c r="I6" s="197" t="n"/>
      <c r="J6" s="197" t="n"/>
      <c r="K6" s="197" t="n"/>
      <c r="L6" s="198" t="n"/>
    </row>
    <row r="7" ht="39.75" customHeight="1" s="195">
      <c r="A7" s="306" t="inlineStr">
        <is>
          <t>系統流程設計</t>
        </is>
      </c>
      <c r="B7" s="306" t="inlineStr">
        <is>
          <t>流程設計</t>
        </is>
      </c>
      <c r="C7" s="307" t="inlineStr">
        <is>
          <t>T6-B1</t>
        </is>
      </c>
      <c r="D7" s="308" t="inlineStr">
        <is>
          <t>評估流程設計</t>
        </is>
      </c>
      <c r="E7" s="309" t="inlineStr">
        <is>
          <t>LLM候選模型評估流程設計</t>
        </is>
      </c>
      <c r="F7" s="309" t="inlineStr">
        <is>
          <t>評估流程圖</t>
        </is>
      </c>
      <c r="G7" s="306" t="inlineStr">
        <is>
          <t>Jimmy</t>
        </is>
      </c>
      <c r="H7" s="306" t="inlineStr">
        <is>
          <t>2026-08-25</t>
        </is>
      </c>
      <c r="I7" s="267" t="n"/>
      <c r="J7" s="268">
        <f>IF(I7&lt;&gt;"", IF(I7&gt;DATEVALUE(H7),"🔴 逾期 "&amp;(I7-DATEVALUE(H7))&amp;"天", IF(DATEVALUE(H7)&gt;I7,"🟢 提前 "&amp;(DATEVALUE(H7)-I7)&amp;"天","🟡 準時完成")), IF((DATEVALUE(H7)-TODAY())&lt;=3,"🟡 接近截止（"&amp;(DATEVALUE(H7)-TODAY())&amp;"天）", IF(TODAY()&gt;DATEVALUE(H7),"🔴 逾期 "&amp;(TODAY()-DATEVALUE(H7))&amp;"天（未完成）","🟢 " &amp;(DATEVALUE(H7)-TODAY())&amp;"天後到期")))</f>
        <v/>
      </c>
      <c r="K7" s="310" t="n">
        <v>0</v>
      </c>
      <c r="L7" s="306" t="n"/>
      <c r="M7" s="270" t="n"/>
      <c r="N7" s="245" t="n"/>
      <c r="O7" s="245" t="n"/>
    </row>
    <row r="8" ht="18" customHeight="1" s="195">
      <c r="A8" s="302" t="inlineStr">
        <is>
          <t>知識工程與需求訪談</t>
        </is>
      </c>
      <c r="B8" s="197" t="n"/>
      <c r="C8" s="197" t="n"/>
      <c r="D8" s="197" t="n"/>
      <c r="E8" s="197" t="n"/>
      <c r="F8" s="197" t="n"/>
      <c r="G8" s="197" t="n"/>
      <c r="H8" s="197" t="n"/>
      <c r="I8" s="197" t="n"/>
      <c r="J8" s="197" t="n"/>
      <c r="K8" s="197" t="n"/>
      <c r="L8" s="198" t="n"/>
    </row>
    <row r="9" ht="39.75" customHeight="1" s="195">
      <c r="A9" s="306" t="inlineStr">
        <is>
          <t>知識工程與需求訪談</t>
        </is>
      </c>
      <c r="B9" s="306" t="inlineStr">
        <is>
          <t>需求訪談</t>
        </is>
      </c>
      <c r="C9" s="307" t="inlineStr">
        <is>
          <t>T6-K1</t>
        </is>
      </c>
      <c r="D9" s="308" t="inlineStr">
        <is>
          <t>評估指標訪談</t>
        </is>
      </c>
      <c r="E9" s="309" t="inlineStr">
        <is>
          <t>Sam/主管評估指標訪談</t>
        </is>
      </c>
      <c r="F9" s="309" t="inlineStr">
        <is>
          <t>訪談紀錄</t>
        </is>
      </c>
      <c r="G9" s="306" t="inlineStr">
        <is>
          <t>Jimmy</t>
        </is>
      </c>
      <c r="H9" s="306" t="inlineStr">
        <is>
          <t>2026-08-15</t>
        </is>
      </c>
      <c r="I9" s="267" t="n"/>
      <c r="J9" s="268">
        <f>IF(I9&lt;&gt;"", IF(I9&gt;DATEVALUE(H9),"🔴 逾期 "&amp;(I9-DATEVALUE(H9))&amp;"天", IF(DATEVALUE(H9)&gt;I9,"🟢 提前 "&amp;(DATEVALUE(H9)-I9)&amp;"天","🟡 準時完成")), IF((DATEVALUE(H9)-TODAY())&lt;=3,"🟡 接近截止（"&amp;(DATEVALUE(H9)-TODAY())&amp;"天）", IF(TODAY()&gt;DATEVALUE(H9),"🔴 逾期 "&amp;(TODAY()-DATEVALUE(H9))&amp;"天（未完成）","🟢 " &amp;(DATEVALUE(H9)-TODAY())&amp;"天後到期")))</f>
        <v/>
      </c>
      <c r="K9" s="310" t="n">
        <v>0</v>
      </c>
      <c r="L9" s="306" t="n"/>
      <c r="M9" s="270" t="n"/>
      <c r="N9" s="245" t="n"/>
      <c r="O9" s="245" t="n"/>
    </row>
    <row r="10" ht="39.75" customHeight="1" s="195">
      <c r="A10" s="312" t="inlineStr">
        <is>
          <t>知識工程與需求訪談</t>
        </is>
      </c>
      <c r="B10" s="312" t="inlineStr">
        <is>
          <t>文件收集</t>
        </is>
      </c>
      <c r="C10" s="313" t="inlineStr">
        <is>
          <t>T6-K2</t>
        </is>
      </c>
      <c r="D10" s="314" t="inlineStr">
        <is>
          <t>候選模型文件收集</t>
        </is>
      </c>
      <c r="E10" s="315" t="inlineStr">
        <is>
          <t>收集各候選LLM模型技術文件</t>
        </is>
      </c>
      <c r="F10" s="315" t="inlineStr">
        <is>
          <t>模型技術文件彙整</t>
        </is>
      </c>
      <c r="G10" s="312" t="inlineStr">
        <is>
          <t>Alf</t>
        </is>
      </c>
      <c r="H10" s="312" t="inlineStr">
        <is>
          <t>2026-08-20</t>
        </is>
      </c>
      <c r="I10" s="267" t="n"/>
      <c r="J10" s="268">
        <f>IF(I10&lt;&gt;"", IF(I10&gt;DATEVALUE(H10),"🔴 逾期 "&amp;(I10-DATEVALUE(H10))&amp;"天", IF(DATEVALUE(H10)&gt;I10,"🟢 提前 "&amp;(DATEVALUE(H10)-I10)&amp;"天","🟡 準時完成")), IF((DATEVALUE(H10)-TODAY())&lt;=3,"🟡 接近截止（"&amp;(DATEVALUE(H10)-TODAY())&amp;"天）", IF(TODAY()&gt;DATEVALUE(H10),"🔴 逾期 "&amp;(TODAY()-DATEVALUE(H10))&amp;"天（未完成）","🟢 " &amp;(DATEVALUE(H10)-TODAY())&amp;"天後到期")))</f>
        <v/>
      </c>
      <c r="K10" s="316" t="n">
        <v>0</v>
      </c>
      <c r="L10" s="312" t="n"/>
      <c r="M10" s="270" t="n"/>
      <c r="N10" s="245" t="n"/>
      <c r="O10" s="245" t="n"/>
    </row>
    <row r="11" ht="39.75" customHeight="1" s="195">
      <c r="A11" s="306" t="inlineStr">
        <is>
          <t>知識工程與需求訪談</t>
        </is>
      </c>
      <c r="B11" s="306" t="inlineStr">
        <is>
          <t>情境訪談</t>
        </is>
      </c>
      <c r="C11" s="307" t="inlineStr">
        <is>
          <t>T6-K3</t>
        </is>
      </c>
      <c r="D11" s="308" t="inlineStr">
        <is>
          <t>使用情境訪談</t>
        </is>
      </c>
      <c r="E11" s="309" t="inlineStr">
        <is>
          <t>各單位LLM使用情境訪談</t>
        </is>
      </c>
      <c r="F11" s="309" t="inlineStr">
        <is>
          <t>使用情境分析報告</t>
        </is>
      </c>
      <c r="G11" s="306" t="inlineStr">
        <is>
          <t>Jimmy</t>
        </is>
      </c>
      <c r="H11" s="306" t="inlineStr">
        <is>
          <t>2026-08-25</t>
        </is>
      </c>
      <c r="I11" s="267" t="n"/>
      <c r="J11" s="268">
        <f>IF(I11&lt;&gt;"", IF(I11&gt;DATEVALUE(H11),"🔴 逾期 "&amp;(I11-DATEVALUE(H11))&amp;"天", IF(DATEVALUE(H11)&gt;I11,"🟢 提前 "&amp;(DATEVALUE(H11)-I11)&amp;"天","🟡 準時完成")), IF((DATEVALUE(H11)-TODAY())&lt;=3,"🟡 接近截止（"&amp;(DATEVALUE(H11)-TODAY())&amp;"天）", IF(TODAY()&gt;DATEVALUE(H11),"🔴 逾期 "&amp;(TODAY()-DATEVALUE(H11))&amp;"天（未完成）","🟢 " &amp;(DATEVALUE(H11)-TODAY())&amp;"天後到期")))</f>
        <v/>
      </c>
      <c r="K11" s="310" t="n">
        <v>0</v>
      </c>
      <c r="L11" s="306" t="n"/>
      <c r="M11" s="270" t="n"/>
      <c r="N11" s="245" t="n"/>
      <c r="O11" s="245" t="n"/>
    </row>
    <row r="12" ht="18" customHeight="1" s="195">
      <c r="A12" s="271" t="inlineStr">
        <is>
          <t>開發現迭代任務</t>
        </is>
      </c>
      <c r="B12" s="197" t="n"/>
      <c r="C12" s="197" t="n"/>
      <c r="D12" s="197" t="n"/>
      <c r="E12" s="197" t="n"/>
      <c r="F12" s="197" t="n"/>
      <c r="G12" s="197" t="n"/>
      <c r="H12" s="197" t="n"/>
      <c r="I12" s="197" t="n"/>
      <c r="J12" s="197" t="n"/>
      <c r="K12" s="197" t="n"/>
      <c r="L12" s="198" t="n"/>
    </row>
    <row r="13" ht="39.75" customHeight="1" s="195">
      <c r="A13" s="312" t="inlineStr">
        <is>
          <t>開發現迭代任務</t>
        </is>
      </c>
      <c r="B13" s="312" t="inlineStr">
        <is>
          <t>評測任務</t>
        </is>
      </c>
      <c r="C13" s="313" t="inlineStr">
        <is>
          <t>T6-D1</t>
        </is>
      </c>
      <c r="D13" s="314" t="inlineStr">
        <is>
          <t>模型評測</t>
        </is>
      </c>
      <c r="E13" s="315" t="inlineStr">
        <is>
          <t>候選LLM模型基準測試</t>
        </is>
      </c>
      <c r="F13" s="315" t="inlineStr">
        <is>
          <t>評測結果數據</t>
        </is>
      </c>
      <c r="G13" s="312" t="inlineStr">
        <is>
          <t>Alf</t>
        </is>
      </c>
      <c r="H13" s="312" t="inlineStr">
        <is>
          <t>2026-09-10</t>
        </is>
      </c>
      <c r="I13" s="267" t="n"/>
      <c r="J13" s="268">
        <f>IF(I13&lt;&gt;"", IF(I13&gt;DATEVALUE(H13),"🔴 逾期 "&amp;(I13-DATEVALUE(H13))&amp;"天", IF(DATEVALUE(H13)&gt;I13,"🟢 提前 "&amp;(DATEVALUE(H13)-I13)&amp;"天","🟡 準時完成")), IF((DATEVALUE(H13)-TODAY())&lt;=3,"🟡 接近截止（"&amp;(DATEVALUE(H13)-TODAY())&amp;"天）", IF(TODAY()&gt;DATEVALUE(H13),"🔴 逾期 "&amp;(TODAY()-DATEVALUE(H13))&amp;"天（未完成）","🟢 " &amp;(DATEVALUE(H13)-TODAY())&amp;"天後到期")))</f>
        <v/>
      </c>
      <c r="K13" s="316" t="n">
        <v>0</v>
      </c>
      <c r="L13" s="312" t="n"/>
      <c r="M13" s="270" t="n"/>
      <c r="N13" s="245" t="n"/>
      <c r="O13" s="245" t="n"/>
    </row>
    <row r="14" ht="39.75" customHeight="1" s="195">
      <c r="A14" s="306" t="inlineStr">
        <is>
          <t>開發現迭代任務</t>
        </is>
      </c>
      <c r="B14" s="306" t="inlineStr">
        <is>
          <t>評估任務</t>
        </is>
      </c>
      <c r="C14" s="307" t="inlineStr">
        <is>
          <t>T6-D2</t>
        </is>
      </c>
      <c r="D14" s="308" t="inlineStr">
        <is>
          <t>綜合評估</t>
        </is>
      </c>
      <c r="E14" s="309" t="inlineStr">
        <is>
          <t>多維度綜合評估分析</t>
        </is>
      </c>
      <c r="F14" s="309" t="inlineStr">
        <is>
          <t>評估分析報告</t>
        </is>
      </c>
      <c r="G14" s="306" t="inlineStr">
        <is>
          <t>Jimmy</t>
        </is>
      </c>
      <c r="H14" s="306" t="inlineStr">
        <is>
          <t>2026-09-18</t>
        </is>
      </c>
      <c r="I14" s="267" t="n"/>
      <c r="J14" s="268">
        <f>IF(I14&lt;&gt;"", IF(I14&gt;DATEVALUE(H14),"🔴 逾期 "&amp;(I14-DATEVALUE(H14))&amp;"天", IF(DATEVALUE(H14)&gt;I14,"🟢 提前 "&amp;(DATEVALUE(H14)-I14)&amp;"天","🟡 準時完成")), IF((DATEVALUE(H14)-TODAY())&lt;=3,"🟡 接近截止（"&amp;(DATEVALUE(H14)-TODAY())&amp;"天）", IF(TODAY()&gt;DATEVALUE(H14),"🔴 逾期 "&amp;(TODAY()-DATEVALUE(H14))&amp;"天（未完成）","🟢 " &amp;(DATEVALUE(H14)-TODAY())&amp;"天後到期")))</f>
        <v/>
      </c>
      <c r="K14" s="310" t="n">
        <v>0</v>
      </c>
      <c r="L14" s="306" t="n"/>
      <c r="M14" s="270" t="n"/>
      <c r="N14" s="245" t="n"/>
      <c r="O14" s="245" t="n"/>
    </row>
    <row r="15" ht="18" customHeight="1" s="195">
      <c r="A15" s="303" t="inlineStr">
        <is>
          <t>系統整合測試</t>
        </is>
      </c>
      <c r="B15" s="197" t="n"/>
      <c r="C15" s="197" t="n"/>
      <c r="D15" s="197" t="n"/>
      <c r="E15" s="197" t="n"/>
      <c r="F15" s="197" t="n"/>
      <c r="G15" s="197" t="n"/>
      <c r="H15" s="197" t="n"/>
      <c r="I15" s="197" t="n"/>
      <c r="J15" s="197" t="n"/>
      <c r="K15" s="197" t="n"/>
      <c r="L15" s="198" t="n"/>
    </row>
    <row r="16" ht="39.75" customHeight="1" s="195">
      <c r="A16" s="317" t="inlineStr">
        <is>
          <t>系統整合測試</t>
        </is>
      </c>
      <c r="B16" s="317" t="inlineStr">
        <is>
          <t>測試</t>
        </is>
      </c>
      <c r="C16" s="318" t="inlineStr">
        <is>
          <t>T6-T1</t>
        </is>
      </c>
      <c r="D16" s="319" t="inlineStr">
        <is>
          <t>評估報告審查</t>
        </is>
      </c>
      <c r="E16" s="320" t="inlineStr">
        <is>
          <t>LLM評估報告審查會議</t>
        </is>
      </c>
      <c r="F16" s="320" t="inlineStr">
        <is>
          <t>審查會議紀錄</t>
        </is>
      </c>
      <c r="G16" s="317" t="inlineStr">
        <is>
          <t>Sam</t>
        </is>
      </c>
      <c r="H16" s="317" t="inlineStr">
        <is>
          <t>2026-09-25</t>
        </is>
      </c>
      <c r="I16" s="267" t="n"/>
      <c r="J16" s="268">
        <f>IF(I16&lt;&gt;"", IF(I16&gt;DATEVALUE(H16),"🔴 逾期 "&amp;(I16-DATEVALUE(H16))&amp;"天", IF(DATEVALUE(H16)&gt;I16,"🟢 提前 "&amp;(DATEVALUE(H16)-I16)&amp;"天","🟡 準時完成")), IF((DATEVALUE(H16)-TODAY())&lt;=3,"🟡 接近截止（"&amp;(DATEVALUE(H16)-TODAY())&amp;"天）", IF(TODAY()&gt;DATEVALUE(H16),"🔴 逾期 "&amp;(TODAY()-DATEVALUE(H16))&amp;"天（未完成）","🟢 " &amp;(DATEVALUE(H16)-TODAY())&amp;"天後到期")))</f>
        <v/>
      </c>
      <c r="K16" s="321" t="n">
        <v>0</v>
      </c>
      <c r="L16" s="317" t="n"/>
      <c r="M16" s="270" t="n"/>
      <c r="N16" s="245" t="n"/>
      <c r="O16" s="245" t="n"/>
    </row>
    <row r="17" ht="18" customHeight="1" s="195">
      <c r="A17" s="304" t="inlineStr">
        <is>
          <t>驗收交付標準</t>
        </is>
      </c>
      <c r="B17" s="197" t="n"/>
      <c r="C17" s="197" t="n"/>
      <c r="D17" s="197" t="n"/>
      <c r="E17" s="197" t="n"/>
      <c r="F17" s="197" t="n"/>
      <c r="G17" s="197" t="n"/>
      <c r="H17" s="197" t="n"/>
      <c r="I17" s="197" t="n"/>
      <c r="J17" s="197" t="n"/>
      <c r="K17" s="197" t="n"/>
      <c r="L17" s="198" t="n"/>
    </row>
    <row r="18" ht="39.75" customHeight="1" s="195">
      <c r="A18" s="317" t="inlineStr">
        <is>
          <t>驗收交付標準</t>
        </is>
      </c>
      <c r="B18" s="317" t="inlineStr">
        <is>
          <t>驗收</t>
        </is>
      </c>
      <c r="C18" s="318" t="inlineStr">
        <is>
          <t>T6-V1</t>
        </is>
      </c>
      <c r="D18" s="319" t="inlineStr">
        <is>
          <t>評估報告驗收</t>
        </is>
      </c>
      <c r="E18" s="320" t="inlineStr">
        <is>
          <t>LLM評估報告驗收確認</t>
        </is>
      </c>
      <c r="F18" s="320" t="inlineStr">
        <is>
          <t>驗收確認書</t>
        </is>
      </c>
      <c r="G18" s="317" t="inlineStr">
        <is>
          <t>Sam</t>
        </is>
      </c>
      <c r="H18" s="317" t="inlineStr">
        <is>
          <t>2026-10-02</t>
        </is>
      </c>
      <c r="I18" s="267" t="n"/>
      <c r="J18" s="268">
        <f>IF(I18&lt;&gt;"", IF(I18&gt;DATEVALUE(H18),"🔴 逾期 "&amp;(I18-DATEVALUE(H18))&amp;"天", IF(DATEVALUE(H18)&gt;I18,"🟢 提前 "&amp;(DATEVALUE(H18)-I18)&amp;"天","🟡 準時完成")), IF((DATEVALUE(H18)-TODAY())&lt;=3,"🟡 接近截止（"&amp;(DATEVALUE(H18)-TODAY())&amp;"天）", IF(TODAY()&gt;DATEVALUE(H18),"🔴 逾期 "&amp;(TODAY()-DATEVALUE(H18))&amp;"天（未完成）","🟢 " &amp;(DATEVALUE(H18)-TODAY())&amp;"天後到期")))</f>
        <v/>
      </c>
      <c r="K18" s="321" t="n">
        <v>0</v>
      </c>
      <c r="L18" s="317" t="n"/>
      <c r="M18" s="270" t="n"/>
      <c r="N18" s="245" t="n"/>
      <c r="O18" s="245" t="n"/>
    </row>
    <row r="19" ht="18" customHeight="1" s="195">
      <c r="A19" s="305" t="inlineStr">
        <is>
          <t>文件化與知識傳承</t>
        </is>
      </c>
      <c r="B19" s="197" t="n"/>
      <c r="C19" s="197" t="n"/>
      <c r="D19" s="197" t="n"/>
      <c r="E19" s="197" t="n"/>
      <c r="F19" s="197" t="n"/>
      <c r="G19" s="197" t="n"/>
      <c r="H19" s="197" t="n"/>
      <c r="I19" s="197" t="n"/>
      <c r="J19" s="197" t="n"/>
      <c r="K19" s="197" t="n"/>
      <c r="L19" s="198" t="n"/>
    </row>
    <row r="20" ht="39.75" customHeight="1" s="195">
      <c r="A20" s="306" t="inlineStr">
        <is>
          <t>文件化與知識傳承</t>
        </is>
      </c>
      <c r="B20" s="306" t="inlineStr">
        <is>
          <t>文件編寫</t>
        </is>
      </c>
      <c r="C20" s="307" t="inlineStr">
        <is>
          <t>T6-Doc1</t>
        </is>
      </c>
      <c r="D20" s="308" t="inlineStr">
        <is>
          <t>LLM評估報告</t>
        </is>
      </c>
      <c r="E20" s="309" t="inlineStr">
        <is>
          <t>LLM選型評估完整報告</t>
        </is>
      </c>
      <c r="F20" s="309" t="inlineStr">
        <is>
          <t>LLM評估報告文件</t>
        </is>
      </c>
      <c r="G20" s="306" t="inlineStr">
        <is>
          <t>Jimmy</t>
        </is>
      </c>
      <c r="H20" s="306" t="inlineStr">
        <is>
          <t>2026-10-08</t>
        </is>
      </c>
      <c r="I20" s="267" t="n"/>
      <c r="J20" s="268">
        <f>IF(I20&lt;&gt;"", IF(I20&gt;DATEVALUE(H20),"🔴 逾期 "&amp;(I20-DATEVALUE(H20))&amp;"天", IF(DATEVALUE(H20)&gt;I20,"🟢 提前 "&amp;(DATEVALUE(H20)-I20)&amp;"天","🟡 準時完成")), IF((DATEVALUE(H20)-TODAY())&lt;=3,"🟡 接近截止（"&amp;(DATEVALUE(H20)-TODAY())&amp;"天）", IF(TODAY()&gt;DATEVALUE(H20),"🔴 逾期 "&amp;(TODAY()-DATEVALUE(H20))&amp;"天（未完成）","🟢 " &amp;(DATEVALUE(H20)-TODAY())&amp;"天後到期")))</f>
        <v/>
      </c>
      <c r="K20" s="310" t="n">
        <v>0</v>
      </c>
      <c r="L20" s="306" t="n"/>
      <c r="M20" s="270" t="n"/>
      <c r="N20" s="245" t="n"/>
      <c r="O20" s="245" t="n"/>
    </row>
    <row r="21" ht="39.75" customHeight="1" s="195">
      <c r="A21" s="312" t="inlineStr">
        <is>
          <t>文件化與知識傳承</t>
        </is>
      </c>
      <c r="B21" s="312" t="inlineStr">
        <is>
          <t>文件編寫</t>
        </is>
      </c>
      <c r="C21" s="313" t="inlineStr">
        <is>
          <t>T6-Doc2</t>
        </is>
      </c>
      <c r="D21" s="314" t="inlineStr">
        <is>
          <t>選型建議書</t>
        </is>
      </c>
      <c r="E21" s="315" t="inlineStr">
        <is>
          <t>LLM最終選型建議書</t>
        </is>
      </c>
      <c r="F21" s="315" t="inlineStr">
        <is>
          <t>選型建議書</t>
        </is>
      </c>
      <c r="G21" s="312" t="inlineStr">
        <is>
          <t>Alf</t>
        </is>
      </c>
      <c r="H21" s="312" t="inlineStr">
        <is>
          <t>2026-10-12</t>
        </is>
      </c>
      <c r="I21" s="267" t="n"/>
      <c r="J21" s="268">
        <f>IF(I21&lt;&gt;"", IF(I21&gt;DATEVALUE(H21),"🔴 逾期 "&amp;(I21-DATEVALUE(H21))&amp;"天", IF(DATEVALUE(H21)&gt;I21,"🟢 提前 "&amp;(DATEVALUE(H21)-I21)&amp;"天","🟡 準時完成")), IF((DATEVALUE(H21)-TODAY())&lt;=3,"🟡 接近截止（"&amp;(DATEVALUE(H21)-TODAY())&amp;"天）", IF(TODAY()&gt;DATEVALUE(H21),"🔴 逾期 "&amp;(TODAY()-DATEVALUE(H21))&amp;"天（未完成）","🟢 " &amp;(DATEVALUE(H21)-TODAY())&amp;"天後到期")))</f>
        <v/>
      </c>
      <c r="K21" s="316" t="n">
        <v>0</v>
      </c>
      <c r="L21" s="312" t="n"/>
      <c r="M21" s="270" t="n"/>
      <c r="N21" s="245" t="n"/>
      <c r="O21" s="245" t="n"/>
    </row>
  </sheetData>
  <mergeCells count="9">
    <mergeCell ref="A2:L2"/>
    <mergeCell ref="A15:L15"/>
    <mergeCell ref="A19:L19"/>
    <mergeCell ref="A1:L1"/>
    <mergeCell ref="A8:L8"/>
    <mergeCell ref="A6:L6"/>
    <mergeCell ref="A17:L17"/>
    <mergeCell ref="A12:L12"/>
    <mergeCell ref="A4:L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O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12" customWidth="1" style="194" min="1" max="1"/>
    <col width="18" customWidth="1" style="194" min="2" max="2"/>
    <col width="10" customWidth="1" style="194" min="3" max="3"/>
    <col width="28" customWidth="1" style="194" min="4" max="4"/>
    <col width="38" customWidth="1" style="194" min="5" max="5"/>
    <col width="28" customWidth="1" style="194" min="6" max="6"/>
    <col width="10" customWidth="1" style="194" min="7" max="7"/>
    <col width="13" customWidth="1" style="194" min="8" max="9"/>
    <col width="22" customWidth="1" style="194" min="10" max="10"/>
    <col width="9" customWidth="1" style="194" min="11" max="11"/>
    <col width="38" customWidth="1" style="194" min="12" max="12"/>
    <col width="35" customWidth="1" style="194" min="13" max="14"/>
    <col width="30" customWidth="1" style="194" min="15" max="15"/>
  </cols>
  <sheetData>
    <row r="1" ht="31.5" customHeight="1" s="195">
      <c r="A1" s="322" t="inlineStr">
        <is>
          <t>T7  評估openVitamin功能分析與引進計劃  ｜  專業軟體開發顧問框架  ｜  2026 July</t>
        </is>
      </c>
      <c r="B1" s="197" t="n"/>
      <c r="C1" s="197" t="n"/>
      <c r="D1" s="197" t="n"/>
      <c r="E1" s="197" t="n"/>
      <c r="F1" s="197" t="n"/>
      <c r="G1" s="197" t="n"/>
      <c r="H1" s="197" t="n"/>
      <c r="I1" s="197" t="n"/>
      <c r="J1" s="197" t="n"/>
      <c r="K1" s="197" t="n"/>
      <c r="L1" s="198" t="n"/>
    </row>
    <row r="2" ht="15.75" customHeight="1" s="195">
      <c r="A2" s="323" t="inlineStr">
        <is>
          <t>建立：2026-07-31  負責：Alf, Jimmy  ｜  專業顧問框架：系統架構設計 → 系統流程設計 → 知識工程與需求訪談 → 開發現迭代任務 → 系統整合測試 → 驗收交付標準 → 文件化與知識傳承  ｜  請填寫I欄與K欄</t>
        </is>
      </c>
      <c r="M2" s="261" t="inlineStr">
        <is>
          <t>▸ 請填入實際檔案路徑或 SharePoint 連結</t>
        </is>
      </c>
      <c r="N2" s="237" t="inlineStr">
        <is>
          <t>▸ 本週的關鍵技術判斷？為什麼這樣決定？</t>
        </is>
      </c>
      <c r="O2" s="237" t="inlineStr">
        <is>
          <t>▸ 本週否決過AI的哪個建議？為什麼？</t>
        </is>
      </c>
    </row>
    <row r="3" ht="21.75" customHeight="1" s="195">
      <c r="A3" s="324" t="inlineStr">
        <is>
          <t>階段</t>
        </is>
      </c>
      <c r="B3" s="324" t="inlineStr">
        <is>
          <t>子階段</t>
        </is>
      </c>
      <c r="C3" s="324" t="inlineStr">
        <is>
          <t>任務編號</t>
        </is>
      </c>
      <c r="D3" s="324" t="inlineStr">
        <is>
          <t>任務名稱</t>
        </is>
      </c>
      <c r="E3" s="324" t="inlineStr">
        <is>
          <t>任務說明</t>
        </is>
      </c>
      <c r="F3" s="324" t="inlineStr">
        <is>
          <t>交付產出</t>
        </is>
      </c>
      <c r="G3" s="324" t="inlineStr">
        <is>
          <t>負責人</t>
        </is>
      </c>
      <c r="H3" s="324" t="inlineStr">
        <is>
          <t>預計完成日</t>
        </is>
      </c>
      <c r="I3" s="324" t="inlineStr">
        <is>
          <t>實際完成日</t>
        </is>
      </c>
      <c r="J3" s="324" t="inlineStr">
        <is>
          <t>開發狀態</t>
        </is>
      </c>
      <c r="K3" s="324" t="inlineStr">
        <is>
          <t>進度(%)</t>
        </is>
      </c>
      <c r="L3" s="324" t="inlineStr">
        <is>
          <t>備註</t>
        </is>
      </c>
      <c r="M3" s="238" t="inlineStr">
        <is>
          <t>交付路徑</t>
        </is>
      </c>
      <c r="N3" s="239" t="inlineStr">
        <is>
          <t>關鍵判斷</t>
        </is>
      </c>
      <c r="O3" s="239" t="inlineStr">
        <is>
          <t>否決AI記錄</t>
        </is>
      </c>
    </row>
    <row r="4" ht="25.5" customHeight="1" s="195">
      <c r="A4" s="325" t="inlineStr">
        <is>
          <t xml:space="preserve">  Phase 1｜系統架構設計</t>
        </is>
      </c>
      <c r="B4" s="197" t="n"/>
      <c r="C4" s="197" t="n"/>
      <c r="D4" s="197" t="n"/>
      <c r="E4" s="197" t="n"/>
      <c r="F4" s="197" t="n"/>
      <c r="G4" s="197" t="n"/>
      <c r="H4" s="197" t="n"/>
      <c r="I4" s="197" t="n"/>
      <c r="J4" s="197" t="n"/>
      <c r="K4" s="197" t="n"/>
      <c r="L4" s="198" t="n"/>
    </row>
    <row r="5" ht="30" customHeight="1" s="195">
      <c r="A5" s="326" t="inlineStr">
        <is>
          <t>系統架構設計</t>
        </is>
      </c>
      <c r="B5" s="327" t="inlineStr">
        <is>
          <t>系統功能分析</t>
        </is>
      </c>
      <c r="C5" s="326" t="inlineStr">
        <is>
          <t>T7-01</t>
        </is>
      </c>
      <c r="D5" s="314" t="inlineStr">
        <is>
          <t>OpenVitamin 系統功能模組分析</t>
        </is>
      </c>
      <c r="E5" s="328" t="inlineStr">
        <is>
          <t>依據 v4/v2/V10/V20 報告，分析系統功能模組、API界面、資料流、Plugin擴充機制</t>
        </is>
      </c>
      <c r="F5" s="328" t="inlineStr">
        <is>
          <t>系統功能分析報告_v5（更新整合版）</t>
        </is>
      </c>
      <c r="G5" s="326" t="inlineStr">
        <is>
          <t>Alf</t>
        </is>
      </c>
      <c r="H5" s="327" t="inlineStr">
        <is>
          <t>2026-08-08</t>
        </is>
      </c>
      <c r="I5" s="329" t="n"/>
      <c r="J5" s="330">
        <f>IF(I5&lt;&gt;"",IF(I5&gt;DATEVALUE(H5),"[Red] Overdue by " &amp; (I5-DATEVALUE(H5)) &amp; " days",IF(DATEVALUE(H5)&gt;I5,"[Green] Early by " &amp; (DATEVALUE(H5)-I5) &amp; " days","[Yellow] On Time")),IF((DATEVALUE(H5)-TODAY())&lt;=3,"[Yellow] Due in " &amp; (DATEVALUE(H5)-TODAY()) &amp; " days",IF(TODAY()&gt;DATEVALUE(H5),"[Red] Overdue - Not Completed","[Green] " &amp; (DATEVALUE(H5)-TODAY()) &amp; " days to due")))</f>
        <v/>
      </c>
      <c r="K5" s="331" t="n">
        <v>60</v>
      </c>
      <c r="L5" s="328" t="inlineStr">
        <is>
          <t>需整合所有版本</t>
        </is>
      </c>
      <c r="M5" s="270" t="n"/>
      <c r="N5" s="245" t="n"/>
      <c r="O5" s="245" t="n"/>
    </row>
    <row r="6" ht="30" customHeight="1" s="195">
      <c r="A6" s="326" t="inlineStr">
        <is>
          <t>系統架構設計</t>
        </is>
      </c>
      <c r="B6" s="327" t="inlineStr">
        <is>
          <t>原生架構分析</t>
        </is>
      </c>
      <c r="C6" s="326" t="inlineStr">
        <is>
          <t>T7-02</t>
        </is>
      </c>
      <c r="D6" s="314" t="inlineStr">
        <is>
          <t>OpenVitamin 原生架構深度分析</t>
        </is>
      </c>
      <c r="E6" s="328" t="inlineStr">
        <is>
          <t>分析核心引擎、Plugin機制、數據隔離架構、安全模型、擴充性</t>
        </is>
      </c>
      <c r="F6" s="328" t="inlineStr">
        <is>
          <t>原生架構分析報告_v3</t>
        </is>
      </c>
      <c r="G6" s="326" t="inlineStr">
        <is>
          <t>Alf</t>
        </is>
      </c>
      <c r="H6" s="327" t="inlineStr">
        <is>
          <t>2026-08-12</t>
        </is>
      </c>
      <c r="I6" s="329" t="n"/>
      <c r="J6" s="330">
        <f>IF(I6&lt;&gt;"",IF(I6&gt;DATEVALUE(H6),"[Red] Overdue by " &amp; (I6-DATEVALUE(H6)) &amp; " days",IF(DATEVALUE(H6)&gt;I6,"[Green] Early by " &amp; (DATEVALUE(H6)-I6) &amp; " days","[Yellow] On Time")),IF((DATEVALUE(H6)-TODAY())&lt;=3,"[Yellow] Due in " &amp; (DATEVALUE(H6)-TODAY()) &amp; " days",IF(TODAY()&gt;DATEVALUE(H6),"[Red] Overdue - Not Completed","[Green] " &amp; (DATEVALUE(H6)-TODAY()) &amp; " days to due")))</f>
        <v/>
      </c>
      <c r="K6" s="331" t="n">
        <v>50</v>
      </c>
      <c r="L6" s="328" t="n"/>
      <c r="M6" s="270" t="n"/>
      <c r="N6" s="245" t="n"/>
      <c r="O6" s="245" t="n"/>
    </row>
    <row r="7" ht="30" customHeight="1" s="195">
      <c r="A7" s="326" t="inlineStr">
        <is>
          <t>系統架構設計</t>
        </is>
      </c>
      <c r="B7" s="327" t="inlineStr">
        <is>
          <t>整合架構規劃</t>
        </is>
      </c>
      <c r="C7" s="326" t="inlineStr">
        <is>
          <t>T7-03</t>
        </is>
      </c>
      <c r="D7" s="314" t="inlineStr">
        <is>
          <t>與內部系統整合架構規劃</t>
        </is>
      </c>
      <c r="E7" s="328" t="inlineStr">
        <is>
          <t>評估與 Amarisoft gNB、Anritsu MT8000A、Neo4j、Qdrant 的整合點</t>
        </is>
      </c>
      <c r="F7" s="328" t="inlineStr">
        <is>
          <t>整合架構規劃文件</t>
        </is>
      </c>
      <c r="G7" s="326" t="inlineStr">
        <is>
          <t>Alf</t>
        </is>
      </c>
      <c r="H7" s="327" t="inlineStr">
        <is>
          <t>2026-08-15</t>
        </is>
      </c>
      <c r="I7" s="329" t="n"/>
      <c r="J7" s="330">
        <f>IF(I7&lt;&gt;"",IF(I7&gt;DATEVALUE(H7),"[Red] Overdue by " &amp; (I7-DATEVALUE(H7)) &amp; " days",IF(DATEVALUE(H7)&gt;I7,"[Green] Early by " &amp; (DATEVALUE(H7)-I7) &amp; " days","[Yellow] On Time")),IF((DATEVALUE(H7)-TODAY())&lt;=3,"[Yellow] Due in " &amp; (DATEVALUE(H7)-TODAY()) &amp; " days",IF(TODAY()&gt;DATEVALUE(H7),"[Red] Overdue - Not Completed","[Green] " &amp; (DATEVALUE(H7)-TODAY()) &amp; " days to due")))</f>
        <v/>
      </c>
      <c r="K7" s="331" t="n">
        <v>50</v>
      </c>
      <c r="L7" s="328" t="inlineStr">
        <is>
          <t>需與 Anderson 確認接口</t>
        </is>
      </c>
      <c r="M7" s="270" t="n"/>
      <c r="N7" s="245" t="n"/>
      <c r="O7" s="245" t="n"/>
    </row>
    <row r="8" ht="30" customHeight="1" s="195">
      <c r="A8" s="326" t="inlineStr">
        <is>
          <t>系統架構設計</t>
        </is>
      </c>
      <c r="B8" s="327" t="inlineStr">
        <is>
          <t>比較架構分析</t>
        </is>
      </c>
      <c r="C8" s="326" t="inlineStr">
        <is>
          <t>T7-04</t>
        </is>
      </c>
      <c r="D8" s="314" t="inlineStr">
        <is>
          <t>OpenVitamin vs 未來幢平台 vs 自建方案架構比較</t>
        </is>
      </c>
      <c r="E8" s="328" t="inlineStr">
        <is>
          <t>從技術可行性、擴充性、維運成本、Vendor Lock-in 角度進行三方案架構比較</t>
        </is>
      </c>
      <c r="F8" s="328" t="inlineStr">
        <is>
          <t>三方案架構比較分析報告</t>
        </is>
      </c>
      <c r="G8" s="326" t="inlineStr">
        <is>
          <t>Alf</t>
        </is>
      </c>
      <c r="H8" s="327" t="inlineStr">
        <is>
          <t>2026-08-19</t>
        </is>
      </c>
      <c r="I8" s="329" t="n"/>
      <c r="J8" s="330">
        <f>IF(I8&lt;&gt;"",IF(I8&gt;DATEVALUE(H8),"[Red] Overdue by " &amp; (I8-DATEVALUE(H8)) &amp; " days",IF(DATEVALUE(H8)&gt;I8,"[Green] Early by " &amp; (DATEVALUE(H8)-I8) &amp; " days","[Yellow] On Time")),IF((DATEVALUE(H8)-TODAY())&lt;=3,"[Yellow] Due in " &amp; (DATEVALUE(H8)-TODAY()) &amp; " days",IF(TODAY()&gt;DATEVALUE(H8),"[Red] Overdue - Not Completed","[Green] " &amp; (DATEVALUE(H8)-TODAY()) &amp; " days to due")))</f>
        <v/>
      </c>
      <c r="K8" s="331" t="n">
        <v>40</v>
      </c>
      <c r="L8" s="328" t="inlineStr">
        <is>
          <t>為主管決策提供技術依據</t>
        </is>
      </c>
      <c r="M8" s="270" t="n"/>
      <c r="N8" s="245" t="n"/>
      <c r="O8" s="245" t="n"/>
    </row>
    <row r="9" ht="6" customHeight="1" s="195">
      <c r="A9" s="215" t="n"/>
      <c r="B9" s="215" t="n"/>
      <c r="C9" s="215" t="n"/>
      <c r="D9" s="215" t="n"/>
      <c r="E9" s="215" t="n"/>
      <c r="F9" s="215" t="n"/>
      <c r="G9" s="215" t="n"/>
      <c r="H9" s="215" t="n"/>
      <c r="I9" s="215" t="n"/>
      <c r="J9" s="215" t="n"/>
      <c r="K9" s="215" t="n"/>
      <c r="L9" s="215" t="n"/>
    </row>
    <row r="10" ht="25.5" customHeight="1" s="195">
      <c r="A10" s="332" t="inlineStr">
        <is>
          <t xml:space="preserve">  Phase 2｜系統流程設計</t>
        </is>
      </c>
      <c r="B10" s="197" t="n"/>
      <c r="C10" s="197" t="n"/>
      <c r="D10" s="197" t="n"/>
      <c r="E10" s="197" t="n"/>
      <c r="F10" s="197" t="n"/>
      <c r="G10" s="197" t="n"/>
      <c r="H10" s="197" t="n"/>
      <c r="I10" s="197" t="n"/>
      <c r="J10" s="197" t="n"/>
      <c r="K10" s="197" t="n"/>
      <c r="L10" s="198" t="n"/>
    </row>
    <row r="11" ht="30" customHeight="1" s="195">
      <c r="A11" s="326" t="inlineStr">
        <is>
          <t>系統流程設計</t>
        </is>
      </c>
      <c r="B11" s="327" t="inlineStr">
        <is>
          <t>應用場景流程</t>
        </is>
      </c>
      <c r="C11" s="326" t="inlineStr">
        <is>
          <t>T7-05</t>
        </is>
      </c>
      <c r="D11" s="314" t="inlineStr">
        <is>
          <t>五大應用場景流程設計</t>
        </is>
      </c>
      <c r="E11" s="328" t="inlineStr">
        <is>
          <t>依據 V20 報告，設計5大應用場景（知識檢索/文件生成/決策輔助/異常分析/系統整合）標準流程</t>
        </is>
      </c>
      <c r="F11" s="328" t="inlineStr">
        <is>
          <t>應用場景流程圖_v2</t>
        </is>
      </c>
      <c r="G11" s="326" t="inlineStr">
        <is>
          <t>Alf</t>
        </is>
      </c>
      <c r="H11" s="327" t="inlineStr">
        <is>
          <t>2026-08-15</t>
        </is>
      </c>
      <c r="I11" s="329" t="n"/>
      <c r="J11" s="330">
        <f>IF(I11&lt;&gt;"",IF(I11&gt;DATEVALUE(H11),"[Red] Overdue by " &amp; (I11-DATEVALUE(H11)) &amp; " days",IF(DATEVALUE(H11)&gt;I11,"[Green] Early by " &amp; (DATEVALUE(H11)-I11) &amp; " days","[Yellow] On Time")),IF((DATEVALUE(H11)-TODAY())&lt;=3,"[Yellow] Due in " &amp; (DATEVALUE(H11)-TODAY()) &amp; " days",IF(TODAY()&gt;DATEVALUE(H11),"[Red] Overdue - Not Completed","[Green] " &amp; (DATEVALUE(H11)-TODAY()) &amp; " days to due")))</f>
        <v/>
      </c>
      <c r="K11" s="331" t="n">
        <v>60</v>
      </c>
      <c r="L11" s="328" t="inlineStr">
        <is>
          <t>需與 Jimmy 確認設備端串接流程</t>
        </is>
      </c>
      <c r="M11" s="270" t="n"/>
      <c r="N11" s="245" t="n"/>
      <c r="O11" s="245" t="n"/>
    </row>
    <row r="12" ht="30" customHeight="1" s="195">
      <c r="A12" s="333" t="inlineStr">
        <is>
          <t>系統流程設計</t>
        </is>
      </c>
      <c r="B12" s="334" t="inlineStr">
        <is>
          <t>技術對接流程</t>
        </is>
      </c>
      <c r="C12" s="333" t="inlineStr">
        <is>
          <t>T7-06</t>
        </is>
      </c>
      <c r="D12" s="308" t="inlineStr">
        <is>
          <t>OpenVitamin 與設備端技術對接流程</t>
        </is>
      </c>
      <c r="E12" s="335" t="inlineStr">
        <is>
          <t>設計 OpenVitamin 與 Amarisoft REST API、Anritsu SCPI 的技術對接流程（含錯誤處理）</t>
        </is>
      </c>
      <c r="F12" s="335" t="inlineStr">
        <is>
          <t>技術對接流程圖</t>
        </is>
      </c>
      <c r="G12" s="333" t="inlineStr">
        <is>
          <t>Jimmy</t>
        </is>
      </c>
      <c r="H12" s="334" t="inlineStr">
        <is>
          <t>2026-08-12</t>
        </is>
      </c>
      <c r="I12" s="329" t="n"/>
      <c r="J12" s="336">
        <f>IF(I12&lt;&gt;"",IF(I12&gt;DATEVALUE(H12),"[Red] Overdue by " &amp; (I12-DATEVALUE(H12)) &amp; " days",IF(DATEVALUE(H12)&gt;I12,"[Green] Early by " &amp; (DATEVALUE(H12)-I12) &amp; " days","[Yellow] On Time")),IF((DATEVALUE(H12)-TODAY())&lt;=3,"[Yellow] Due in " &amp; (DATEVALUE(H12)-TODAY()) &amp; " days",IF(TODAY()&gt;DATEVALUE(H12),"[Red] Overdue - Not Completed","[Green] " &amp; (DATEVALUE(H12)-TODAY()) &amp; " days to due")))</f>
        <v/>
      </c>
      <c r="K12" s="337" t="n">
        <v>50</v>
      </c>
      <c r="L12" s="335" t="inlineStr">
        <is>
          <t>Jimmy 負責</t>
        </is>
      </c>
      <c r="M12" s="270" t="n"/>
      <c r="N12" s="245" t="n"/>
      <c r="O12" s="245" t="n"/>
    </row>
    <row r="13" ht="30" customHeight="1" s="195">
      <c r="A13" s="333" t="inlineStr">
        <is>
          <t>系統流程設計</t>
        </is>
      </c>
      <c r="B13" s="334" t="inlineStr">
        <is>
          <t>API缺口分析</t>
        </is>
      </c>
      <c r="C13" s="333" t="inlineStr">
        <is>
          <t>T7-07</t>
        </is>
      </c>
      <c r="D13" s="308" t="inlineStr">
        <is>
          <t>API 缺口分析與 Bridging 方案設計</t>
        </is>
      </c>
      <c r="E13" s="335" t="inlineStr">
        <is>
          <t>盤點 OpenVitamin API 與內部需求缺口，設計 Bridging 中間件方案</t>
        </is>
      </c>
      <c r="F13" s="335" t="inlineStr">
        <is>
          <t>API缺口分析報告 + Bridging方案</t>
        </is>
      </c>
      <c r="G13" s="333" t="inlineStr">
        <is>
          <t>Jimmy</t>
        </is>
      </c>
      <c r="H13" s="334" t="inlineStr">
        <is>
          <t>2026-08-12</t>
        </is>
      </c>
      <c r="I13" s="329" t="n"/>
      <c r="J13" s="336">
        <f>IF(I13&lt;&gt;"",IF(I13&gt;DATEVALUE(H13),"[Red] Overdue by " &amp; (I13-DATEVALUE(H13)) &amp; " days",IF(DATEVALUE(H13)&gt;I13,"[Green] Early by " &amp; (DATEVALUE(H13)-I13) &amp; " days","[Yellow] On Time")),IF((DATEVALUE(H13)-TODAY())&lt;=3,"[Yellow] Due in " &amp; (DATEVALUE(H13)-TODAY()) &amp; " days",IF(TODAY()&gt;DATEVALUE(H13),"[Red] Overdue - Not Completed","[Green] " &amp; (DATEVALUE(H13)-TODAY()) &amp; " days to due")))</f>
        <v/>
      </c>
      <c r="K13" s="337" t="n">
        <v>50</v>
      </c>
      <c r="L13" s="335" t="inlineStr">
        <is>
          <t>Jimmy 負責</t>
        </is>
      </c>
      <c r="M13" s="270" t="n"/>
      <c r="N13" s="245" t="n"/>
      <c r="O13" s="245" t="n"/>
    </row>
    <row r="14" ht="30" customHeight="1" s="195">
      <c r="A14" s="326" t="inlineStr">
        <is>
          <t>系統流程設計</t>
        </is>
      </c>
      <c r="B14" s="327" t="inlineStr">
        <is>
          <t>評估決策流程</t>
        </is>
      </c>
      <c r="C14" s="326" t="inlineStr">
        <is>
          <t>T7-08</t>
        </is>
      </c>
      <c r="D14" s="314" t="inlineStr">
        <is>
          <t>主管決策審查流程設計</t>
        </is>
      </c>
      <c r="E14" s="328" t="inlineStr">
        <is>
          <t>設計從評估結果 → 分析報告 → 引進建議 → 主管核准 → POC 啟動的完整決策流程</t>
        </is>
      </c>
      <c r="F14" s="328" t="inlineStr">
        <is>
          <t>主管決策審查流程圖</t>
        </is>
      </c>
      <c r="G14" s="326" t="inlineStr">
        <is>
          <t>Alf</t>
        </is>
      </c>
      <c r="H14" s="327" t="inlineStr">
        <is>
          <t>2026-08-26</t>
        </is>
      </c>
      <c r="I14" s="329" t="n"/>
      <c r="J14" s="330">
        <f>IF(I14&lt;&gt;"",IF(I14&gt;DATEVALUE(H14),"[Red] Overdue by " &amp; (I14-DATEVALUE(H14)) &amp; " days",IF(DATEVALUE(H14)&gt;I14,"[Green] Early by " &amp; (DATEVALUE(H14)-I14) &amp; " days","[Yellow] On Time")),IF((DATEVALUE(H14)-TODAY())&lt;=3,"[Yellow] Due in " &amp; (DATEVALUE(H14)-TODAY()) &amp; " days",IF(TODAY()&gt;DATEVALUE(H14),"[Red] Overdue - Not Completed","[Green] " &amp; (DATEVALUE(H14)-TODAY()) &amp; " days to due")))</f>
        <v/>
      </c>
      <c r="K14" s="331" t="n">
        <v>40</v>
      </c>
      <c r="L14" s="328" t="n"/>
      <c r="M14" s="270" t="n"/>
      <c r="N14" s="245" t="n"/>
      <c r="O14" s="245" t="n"/>
    </row>
    <row r="15" ht="6" customHeight="1" s="195">
      <c r="A15" s="215" t="n"/>
      <c r="B15" s="215" t="n"/>
      <c r="C15" s="215" t="n"/>
      <c r="D15" s="215" t="n"/>
      <c r="E15" s="215" t="n"/>
      <c r="F15" s="215" t="n"/>
      <c r="G15" s="215" t="n"/>
      <c r="H15" s="215" t="n"/>
      <c r="I15" s="215" t="n"/>
      <c r="J15" s="215" t="n"/>
      <c r="K15" s="215" t="n"/>
      <c r="L15" s="215" t="n"/>
    </row>
    <row r="16" ht="25.5" customHeight="1" s="195">
      <c r="A16" s="338" t="inlineStr">
        <is>
          <t xml:space="preserve">  Phase 3｜知識工程與需求訪談  ★ AI Agent 核心基礎</t>
        </is>
      </c>
      <c r="B16" s="197" t="n"/>
      <c r="C16" s="197" t="n"/>
      <c r="D16" s="197" t="n"/>
      <c r="E16" s="197" t="n"/>
      <c r="F16" s="197" t="n"/>
      <c r="G16" s="197" t="n"/>
      <c r="H16" s="197" t="n"/>
      <c r="I16" s="197" t="n"/>
      <c r="J16" s="197" t="n"/>
      <c r="K16" s="197" t="n"/>
      <c r="L16" s="198" t="n"/>
    </row>
    <row r="17" ht="30" customHeight="1" s="195">
      <c r="A17" s="326" t="inlineStr">
        <is>
          <t>知識工程與需求訪談</t>
        </is>
      </c>
      <c r="B17" s="327" t="inlineStr">
        <is>
          <t>文件知識萃取</t>
        </is>
      </c>
      <c r="C17" s="326" t="inlineStr">
        <is>
          <t>T7-09</t>
        </is>
      </c>
      <c r="D17" s="314" t="inlineStr">
        <is>
          <t>OpenVitamin 文件知識萃取與結構化</t>
        </is>
      </c>
      <c r="E17" s="328" t="inlineStr">
        <is>
          <t>從 v4/v2/V10/V20 報告中萃取關鍵知識，結構化為 Neo4j 節點與關係</t>
        </is>
      </c>
      <c r="F17" s="328" t="inlineStr">
        <is>
          <t>Neo4j OpenVitamin 知識圖譜節點</t>
        </is>
      </c>
      <c r="G17" s="326" t="inlineStr">
        <is>
          <t>Alf</t>
        </is>
      </c>
      <c r="H17" s="327" t="inlineStr">
        <is>
          <t>2026-08-12</t>
        </is>
      </c>
      <c r="I17" s="329" t="n"/>
      <c r="J17" s="330">
        <f>IF(I17&lt;&gt;"",IF(I17&gt;DATEVALUE(H17),"[Red] Overdue by " &amp; (I17-DATEVALUE(H17)) &amp; " days",IF(DATEVALUE(H17)&gt;I17,"[Green] Early by " &amp; (DATEVALUE(H17)-I17) &amp; " days","[Yellow] On Time")),IF((DATEVALUE(H17)-TODAY())&lt;=3,"[Yellow] Due in " &amp; (DATEVALUE(H17)-TODAY()) &amp; " days",IF(TODAY()&gt;DATEVALUE(H17),"[Red] Overdue - Not Completed","[Green] " &amp; (DATEVALUE(H17)-TODAY()) &amp; " days to due")))</f>
        <v/>
      </c>
      <c r="K17" s="331" t="n">
        <v>60</v>
      </c>
      <c r="L17" s="328" t="inlineStr">
        <is>
          <t>餰盤知識地圖</t>
        </is>
      </c>
      <c r="M17" s="270" t="n"/>
      <c r="N17" s="245" t="n"/>
      <c r="O17" s="245" t="n"/>
    </row>
    <row r="18" ht="30" customHeight="1" s="195">
      <c r="A18" s="333" t="inlineStr">
        <is>
          <t>知識工程與需求訪談</t>
        </is>
      </c>
      <c r="B18" s="334" t="inlineStr">
        <is>
          <t>設備端需求訪談</t>
        </is>
      </c>
      <c r="C18" s="333" t="inlineStr">
        <is>
          <t>T7-10</t>
        </is>
      </c>
      <c r="D18" s="308" t="inlineStr">
        <is>
          <t>Amarisoft/Anritsu 設備端整合需求訪談</t>
        </is>
      </c>
      <c r="E18" s="335" t="inlineStr">
        <is>
          <t>訪談 Matt（Amarisoft）、Issa（Anritsu），確認設備端整合的技術需求與限制</t>
        </is>
      </c>
      <c r="F18" s="335" t="inlineStr">
        <is>
          <t>設備端整合需求訪談紀錄</t>
        </is>
      </c>
      <c r="G18" s="333" t="inlineStr">
        <is>
          <t>Jimmy</t>
        </is>
      </c>
      <c r="H18" s="334" t="inlineStr">
        <is>
          <t>2026-08-15</t>
        </is>
      </c>
      <c r="I18" s="329" t="n"/>
      <c r="J18" s="336">
        <f>IF(I18&lt;&gt;"",IF(I18&gt;DATEVALUE(H18),"[Red] Overdue by " &amp; (I18-DATEVALUE(H18)) &amp; " days",IF(DATEVALUE(H18)&gt;I18,"[Green] Early by " &amp; (DATEVALUE(H18)-I18) &amp; " days","[Yellow] On Time")),IF((DATEVALUE(H18)-TODAY())&lt;=3,"[Yellow] Due in " &amp; (DATEVALUE(H18)-TODAY()) &amp; " days",IF(TODAY()&gt;DATEVALUE(H18),"[Red] Overdue - Not Completed","[Green] " &amp; (DATEVALUE(H18)-TODAY()) &amp; " days to due")))</f>
        <v/>
      </c>
      <c r="K18" s="337" t="n">
        <v>50</v>
      </c>
      <c r="L18" s="335" t="inlineStr">
        <is>
          <t>Matt/Issa 參與</t>
        </is>
      </c>
      <c r="M18" s="270" t="n"/>
      <c r="N18" s="245" t="n"/>
      <c r="O18" s="245" t="n"/>
    </row>
    <row r="19" ht="30" customHeight="1" s="195">
      <c r="A19" s="326" t="inlineStr">
        <is>
          <t>知識工程與需求訪談</t>
        </is>
      </c>
      <c r="B19" s="327" t="inlineStr">
        <is>
          <t>使用者情境訪談</t>
        </is>
      </c>
      <c r="C19" s="326" t="inlineStr">
        <is>
          <t>T7-11</t>
        </is>
      </c>
      <c r="D19" s="314" t="inlineStr">
        <is>
          <t>內部使用者情境訪談</t>
        </is>
      </c>
      <c r="E19" s="328" t="inlineStr">
        <is>
          <t>訪談未來潛在使用者（工程師、主管），收集應用情境、期待效益、現有痛點</t>
        </is>
      </c>
      <c r="F19" s="328" t="inlineStr">
        <is>
          <t>使用者情境訪談紀錄</t>
        </is>
      </c>
      <c r="G19" s="326" t="inlineStr">
        <is>
          <t>Alf</t>
        </is>
      </c>
      <c r="H19" s="327" t="inlineStr">
        <is>
          <t>2026-08-15</t>
        </is>
      </c>
      <c r="I19" s="329" t="n"/>
      <c r="J19" s="330">
        <f>IF(I19&lt;&gt;"",IF(I19&gt;DATEVALUE(H19),"[Red] Overdue by " &amp; (I19-DATEVALUE(H19)) &amp; " days",IF(DATEVALUE(H19)&gt;I19,"[Green] Early by " &amp; (DATEVALUE(H19)-I19) &amp; " days","[Yellow] On Time")),IF((DATEVALUE(H19)-TODAY())&lt;=3,"[Yellow] Due in " &amp; (DATEVALUE(H19)-TODAY()) &amp; " days",IF(TODAY()&gt;DATEVALUE(H19),"[Red] Overdue - Not Completed","[Green] " &amp; (DATEVALUE(H19)-TODAY()) &amp; " days to due")))</f>
        <v/>
      </c>
      <c r="K19" s="331" t="n">
        <v>50</v>
      </c>
      <c r="L19" s="328" t="n"/>
      <c r="M19" s="270" t="n"/>
      <c r="N19" s="245" t="n"/>
      <c r="O19" s="245" t="n"/>
    </row>
    <row r="20" ht="30" customHeight="1" s="195">
      <c r="A20" s="326" t="inlineStr">
        <is>
          <t>知識工程與需求訪談</t>
        </is>
      </c>
      <c r="B20" s="327" t="inlineStr">
        <is>
          <t>比較分析訪談</t>
        </is>
      </c>
      <c r="C20" s="326" t="inlineStr">
        <is>
          <t>T7-12</t>
        </is>
      </c>
      <c r="D20" s="314" t="inlineStr">
        <is>
          <t>OpenVitamin vs 未來幢平台 vs 自建方案訪談</t>
        </is>
      </c>
      <c r="E20" s="328" t="inlineStr">
        <is>
          <t>訪談相關單位，確認三方案比較維度，建立公平比較基準</t>
        </is>
      </c>
      <c r="F20" s="328" t="inlineStr">
        <is>
          <t>平台比較分析訪談紀錄</t>
        </is>
      </c>
      <c r="G20" s="326" t="inlineStr">
        <is>
          <t>Alf</t>
        </is>
      </c>
      <c r="H20" s="327" t="inlineStr">
        <is>
          <t>2026-08-19</t>
        </is>
      </c>
      <c r="I20" s="329" t="n"/>
      <c r="J20" s="330">
        <f>IF(I20&lt;&gt;"",IF(I20&gt;DATEVALUE(H20),"[Red] Overdue by " &amp; (I20-DATEVALUE(H20)) &amp; " days",IF(DATEVALUE(H20)&gt;I20,"[Green] Early by " &amp; (DATEVALUE(H20)-I20) &amp; " days","[Yellow] On Time")),IF((DATEVALUE(H20)-TODAY())&lt;=3,"[Yellow] Due in " &amp; (DATEVALUE(H20)-TODAY()) &amp; " days",IF(TODAY()&gt;DATEVALUE(H20),"[Red] Overdue - Not Completed","[Green] " &amp; (DATEVALUE(H20)-TODAY()) &amp; " days to due")))</f>
        <v/>
      </c>
      <c r="K20" s="331" t="n">
        <v>40</v>
      </c>
      <c r="L20" s="328" t="n"/>
      <c r="M20" s="270" t="n"/>
      <c r="N20" s="245" t="n"/>
      <c r="O20" s="245" t="n"/>
    </row>
    <row r="21" ht="30" customHeight="1" s="195">
      <c r="A21" s="333" t="inlineStr">
        <is>
          <t>知識工程與需求訪談</t>
        </is>
      </c>
      <c r="B21" s="334" t="inlineStr">
        <is>
          <t>專家經驗萃取</t>
        </is>
      </c>
      <c r="C21" s="333" t="inlineStr">
        <is>
          <t>T7-13</t>
        </is>
      </c>
      <c r="D21" s="308" t="inlineStr">
        <is>
          <t>Matt/Issa 設備操作專家經驗萃取</t>
        </is>
      </c>
      <c r="E21" s="335" t="inlineStr">
        <is>
          <t>訪談 Matt/Issa，萃取設備操作判斷邏輯，存入 Neo4j 供 L5 Agent 使用</t>
        </is>
      </c>
      <c r="F21" s="335" t="inlineStr">
        <is>
          <t>Matt/Issa 專家經驗知識庫（Neo4j）</t>
        </is>
      </c>
      <c r="G21" s="333" t="inlineStr">
        <is>
          <t>Jimmy</t>
        </is>
      </c>
      <c r="H21" s="334" t="inlineStr">
        <is>
          <t>2026-08-22</t>
        </is>
      </c>
      <c r="I21" s="329" t="n"/>
      <c r="J21" s="336">
        <f>IF(I21&lt;&gt;"",IF(I21&gt;DATEVALUE(H21),"[Red] Overdue by " &amp; (I21-DATEVALUE(H21)) &amp; " days",IF(DATEVALUE(H21)&gt;I21,"[Green] Early by " &amp; (DATEVALUE(H21)-I21) &amp; " days","[Yellow] On Time")),IF((DATEVALUE(H21)-TODAY())&lt;=3,"[Yellow] Due in " &amp; (DATEVALUE(H21)-TODAY()) &amp; " days",IF(TODAY()&gt;DATEVALUE(H21),"[Red] Overdue - Not Completed","[Green] " &amp; (DATEVALUE(H21)-TODAY()) &amp; " days to due")))</f>
        <v/>
      </c>
      <c r="K21" s="337" t="n">
        <v>40</v>
      </c>
      <c r="L21" s="335" t="inlineStr">
        <is>
          <t>★ 為 L5 Agent 打底的關鍵知識</t>
        </is>
      </c>
      <c r="M21" s="270" t="n"/>
      <c r="N21" s="245" t="n"/>
      <c r="O21" s="245" t="n"/>
    </row>
    <row r="22" ht="30" customHeight="1" s="195">
      <c r="A22" s="326" t="inlineStr">
        <is>
          <t>知識工程與需求訪談</t>
        </is>
      </c>
      <c r="B22" s="327" t="inlineStr">
        <is>
          <t>評估方法論建置</t>
        </is>
      </c>
      <c r="C22" s="326" t="inlineStr">
        <is>
          <t>T7-14</t>
        </is>
      </c>
      <c r="D22" s="314" t="inlineStr">
        <is>
          <t>AI Agent 評估方法論知識庫建置</t>
        </is>
      </c>
      <c r="E22" s="328" t="inlineStr">
        <is>
          <t>將此次評估的判斷邏輯、決策依據、比較維度結構化存入 Neo4j</t>
        </is>
      </c>
      <c r="F22" s="328" t="inlineStr">
        <is>
          <t>AI Agent 評估方法論知識庫</t>
        </is>
      </c>
      <c r="G22" s="326" t="inlineStr">
        <is>
          <t>Alf</t>
        </is>
      </c>
      <c r="H22" s="327" t="inlineStr">
        <is>
          <t>2026-08-22</t>
        </is>
      </c>
      <c r="I22" s="329" t="n"/>
      <c r="J22" s="330">
        <f>IF(I22&lt;&gt;"",IF(I22&gt;DATEVALUE(H22),"[Red] Overdue by " &amp; (I22-DATEVALUE(H22)) &amp; " days",IF(DATEVALUE(H22)&gt;I22,"[Green] Early by " &amp; (DATEVALUE(H22)-I22) &amp; " days","[Yellow] On Time")),IF((DATEVALUE(H22)-TODAY())&lt;=3,"[Yellow] Due in " &amp; (DATEVALUE(H22)-TODAY()) &amp; " days",IF(TODAY()&gt;DATEVALUE(H22),"[Red] Overdue - Not Completed","[Green] " &amp; (DATEVALUE(H22)-TODAY()) &amp; " days to due")))</f>
        <v/>
      </c>
      <c r="K22" s="331" t="n">
        <v>40</v>
      </c>
      <c r="L22" s="328" t="inlineStr">
        <is>
          <t>供日後類似專案復用</t>
        </is>
      </c>
      <c r="M22" s="270" t="n"/>
      <c r="N22" s="245" t="n"/>
      <c r="O22" s="245" t="n"/>
    </row>
    <row r="23" ht="6" customHeight="1" s="195">
      <c r="A23" s="215" t="n"/>
      <c r="B23" s="215" t="n"/>
      <c r="C23" s="215" t="n"/>
      <c r="D23" s="215" t="n"/>
      <c r="E23" s="215" t="n"/>
      <c r="F23" s="215" t="n"/>
      <c r="G23" s="215" t="n"/>
      <c r="H23" s="215" t="n"/>
      <c r="I23" s="215" t="n"/>
      <c r="J23" s="215" t="n"/>
      <c r="K23" s="215" t="n"/>
      <c r="L23" s="215" t="n"/>
    </row>
    <row r="24" ht="25.5" customHeight="1" s="195">
      <c r="A24" s="339" t="inlineStr">
        <is>
          <t xml:space="preserve">  Phase 4｜開發現迭代任務</t>
        </is>
      </c>
      <c r="B24" s="197" t="n"/>
      <c r="C24" s="197" t="n"/>
      <c r="D24" s="197" t="n"/>
      <c r="E24" s="197" t="n"/>
      <c r="F24" s="197" t="n"/>
      <c r="G24" s="197" t="n"/>
      <c r="H24" s="197" t="n"/>
      <c r="I24" s="197" t="n"/>
      <c r="J24" s="197" t="n"/>
      <c r="K24" s="197" t="n"/>
      <c r="L24" s="198" t="n"/>
    </row>
    <row r="25" ht="30" customHeight="1" s="195">
      <c r="A25" s="326" t="inlineStr">
        <is>
          <t>開發現迭代任務</t>
        </is>
      </c>
      <c r="B25" s="327" t="inlineStr">
        <is>
          <t>分析彙編</t>
        </is>
      </c>
      <c r="C25" s="326" t="inlineStr">
        <is>
          <t>T7-15</t>
        </is>
      </c>
      <c r="D25" s="314" t="inlineStr">
        <is>
          <t>整合評估報告彙編</t>
        </is>
      </c>
      <c r="E25" s="328" t="inlineStr">
        <is>
          <t>將系統功能分析、原生架構、應用場景、API缺口、風險對策彙編為完整報告</t>
        </is>
      </c>
      <c r="F25" s="328" t="inlineStr">
        <is>
          <t>整合評估報告V11</t>
        </is>
      </c>
      <c r="G25" s="326" t="inlineStr">
        <is>
          <t>Alf</t>
        </is>
      </c>
      <c r="H25" s="327" t="inlineStr">
        <is>
          <t>2026-08-22</t>
        </is>
      </c>
      <c r="I25" s="329" t="n"/>
      <c r="J25" s="330">
        <f>IF(I25&lt;&gt;"",IF(I25&gt;DATEVALUE(H25),"[Red] Overdue by " &amp; (I25-DATEVALUE(H25)) &amp; " days",IF(DATEVALUE(H25)&gt;I25,"[Green] Early by " &amp; (DATEVALUE(H25)-I25) &amp; " days","[Yellow] On Time")),IF((DATEVALUE(H25)-TODAY())&lt;=3,"[Yellow] Due in " &amp; (DATEVALUE(H25)-TODAY()) &amp; " days",IF(TODAY()&gt;DATEVALUE(H25),"[Red] Overdue - Not Completed","[Green] " &amp; (DATEVALUE(H25)-TODAY()) &amp; " days to due")))</f>
        <v/>
      </c>
      <c r="K25" s="331" t="n">
        <v>40</v>
      </c>
      <c r="L25" s="328" t="inlineStr">
        <is>
          <t>餰盤產出</t>
        </is>
      </c>
      <c r="M25" s="270" t="n"/>
      <c r="N25" s="245" t="n"/>
      <c r="O25" s="245" t="n"/>
    </row>
    <row r="26" ht="30" customHeight="1" s="195">
      <c r="A26" s="333" t="inlineStr">
        <is>
          <t>開發現迭代任務</t>
        </is>
      </c>
      <c r="B26" s="334" t="inlineStr">
        <is>
          <t>風險識別</t>
        </is>
      </c>
      <c r="C26" s="333" t="inlineStr">
        <is>
          <t>T7-16</t>
        </is>
      </c>
      <c r="D26" s="308" t="inlineStr">
        <is>
          <t>技術風險識別與緩解對策</t>
        </is>
      </c>
      <c r="E26" s="335" t="inlineStr">
        <is>
          <t>識別 Licensing、資安、效能瓶頸、Vendor Lock-in 等技術風險，訂定緩解對策</t>
        </is>
      </c>
      <c r="F26" s="335" t="inlineStr">
        <is>
          <t>技術風險識別與緩解對策報告</t>
        </is>
      </c>
      <c r="G26" s="333" t="inlineStr">
        <is>
          <t>Jimmy</t>
        </is>
      </c>
      <c r="H26" s="334" t="inlineStr">
        <is>
          <t>2026-08-19</t>
        </is>
      </c>
      <c r="I26" s="329" t="n"/>
      <c r="J26" s="336">
        <f>IF(I26&lt;&gt;"",IF(I26&gt;DATEVALUE(H26),"[Red] Overdue by " &amp; (I26-DATEVALUE(H26)) &amp; " days",IF(DATEVALUE(H26)&gt;I26,"[Green] Early by " &amp; (DATEVALUE(H26)-I26) &amp; " days","[Yellow] On Time")),IF((DATEVALUE(H26)-TODAY())&lt;=3,"[Yellow] Due in " &amp; (DATEVALUE(H26)-TODAY()) &amp; " days",IF(TODAY()&gt;DATEVALUE(H26),"[Red] Overdue - Not Completed","[Green] " &amp; (DATEVALUE(H26)-TODAY()) &amp; " days to due")))</f>
        <v/>
      </c>
      <c r="K26" s="337" t="n">
        <v>40</v>
      </c>
      <c r="L26" s="335" t="n"/>
      <c r="M26" s="270" t="n"/>
      <c r="N26" s="245" t="n"/>
      <c r="O26" s="245" t="n"/>
    </row>
    <row r="27" ht="30" customHeight="1" s="195">
      <c r="A27" s="326" t="inlineStr">
        <is>
          <t>開發現迭代任務</t>
        </is>
      </c>
      <c r="B27" s="327" t="inlineStr">
        <is>
          <t>成本效益分析</t>
        </is>
      </c>
      <c r="C27" s="326" t="inlineStr">
        <is>
          <t>T7-17</t>
        </is>
      </c>
      <c r="D27" s="314" t="inlineStr">
        <is>
          <t>成本效益分析與 TCO 計算</t>
        </is>
      </c>
      <c r="E27" s="328" t="inlineStr">
        <is>
          <t>計算引進的總擁有成本（TCO）與預期效益</t>
        </is>
      </c>
      <c r="F27" s="328" t="inlineStr">
        <is>
          <t>成本效益分析報告（含TCO）</t>
        </is>
      </c>
      <c r="G27" s="326" t="inlineStr">
        <is>
          <t>Alf</t>
        </is>
      </c>
      <c r="H27" s="327" t="inlineStr">
        <is>
          <t>2026-08-26</t>
        </is>
      </c>
      <c r="I27" s="329" t="n"/>
      <c r="J27" s="330">
        <f>IF(I27&lt;&gt;"",IF(I27&gt;DATEVALUE(H27),"[Red] Overdue by " &amp; (I27-DATEVALUE(H27)) &amp; " days",IF(DATEVALUE(H27)&gt;I27,"[Green] Early by " &amp; (DATEVALUE(H27)-I27) &amp; " days","[Yellow] On Time")),IF((DATEVALUE(H27)-TODAY())&lt;=3,"[Yellow] Due in " &amp; (DATEVALUE(H27)-TODAY()) &amp; " days",IF(TODAY()&gt;DATEVALUE(H27),"[Red] Overdue - Not Completed","[Green] " &amp; (DATEVALUE(H27)-TODAY()) &amp; " days to due")))</f>
        <v/>
      </c>
      <c r="K27" s="331" t="n">
        <v>30</v>
      </c>
      <c r="L27" s="328" t="n"/>
      <c r="M27" s="270" t="n"/>
      <c r="N27" s="245" t="n"/>
      <c r="O27" s="245" t="n"/>
    </row>
    <row r="28" ht="30" customHeight="1" s="195">
      <c r="A28" s="333" t="inlineStr">
        <is>
          <t>開發現迭代任務</t>
        </is>
      </c>
      <c r="B28" s="334" t="inlineStr">
        <is>
          <t>POC規劃</t>
        </is>
      </c>
      <c r="C28" s="333" t="inlineStr">
        <is>
          <t>T7-18</t>
        </is>
      </c>
      <c r="D28" s="308" t="inlineStr">
        <is>
          <t>技術 POC 規劃</t>
        </is>
      </c>
      <c r="E28" s="335" t="inlineStr">
        <is>
          <t>若評估建議引進，規劃技術 POC 範圍、成功標準、資源需求</t>
        </is>
      </c>
      <c r="F28" s="335" t="inlineStr">
        <is>
          <t>技術 POC 規劃文件</t>
        </is>
      </c>
      <c r="G28" s="333" t="inlineStr">
        <is>
          <t>Jimmy</t>
        </is>
      </c>
      <c r="H28" s="334" t="inlineStr">
        <is>
          <t>2026-08-26</t>
        </is>
      </c>
      <c r="I28" s="329" t="n"/>
      <c r="J28" s="336">
        <f>IF(I28&lt;&gt;"",IF(I28&gt;DATEVALUE(H28),"[Red] Overdue by " &amp; (I28-DATEVALUE(H28)) &amp; " days",IF(DATEVALUE(H28)&gt;I28,"[Green] Early by " &amp; (DATEVALUE(H28)-I28) &amp; " days","[Yellow] On Time")),IF((DATEVALUE(H28)-TODAY())&lt;=3,"[Yellow] Due in " &amp; (DATEVALUE(H28)-TODAY()) &amp; " days",IF(TODAY()&gt;DATEVALUE(H28),"[Red] Overdue - Not Completed","[Green] " &amp; (DATEVALUE(H28)-TODAY()) &amp; " days to due")))</f>
        <v/>
      </c>
      <c r="K28" s="337" t="n">
        <v>30</v>
      </c>
      <c r="L28" s="335" t="inlineStr">
        <is>
          <t>視主管決策決定是否啟動</t>
        </is>
      </c>
      <c r="M28" s="270" t="n"/>
      <c r="N28" s="245" t="n"/>
      <c r="O28" s="245" t="n"/>
    </row>
    <row r="29" ht="30" customHeight="1" s="195">
      <c r="A29" s="326" t="inlineStr">
        <is>
          <t>開發現迭代任務</t>
        </is>
      </c>
      <c r="B29" s="327" t="inlineStr">
        <is>
          <t>引進建議書</t>
        </is>
      </c>
      <c r="C29" s="326" t="inlineStr">
        <is>
          <t>T7-19</t>
        </is>
      </c>
      <c r="D29" s="314" t="inlineStr">
        <is>
          <t>OpenVitamin 引進建議書</t>
        </is>
      </c>
      <c r="E29" s="328" t="inlineStr">
        <is>
          <t>整合所有評估結果，產出最終引進建議書（含推薦方案、風險、替代方案、TCO）</t>
        </is>
      </c>
      <c r="F29" s="328" t="inlineStr">
        <is>
          <t>OpenVitamin 引進建議書</t>
        </is>
      </c>
      <c r="G29" s="326" t="inlineStr">
        <is>
          <t>Alf</t>
        </is>
      </c>
      <c r="H29" s="327" t="inlineStr">
        <is>
          <t>2026-08-29</t>
        </is>
      </c>
      <c r="I29" s="329" t="n"/>
      <c r="J29" s="330">
        <f>IF(I29&lt;&gt;"",IF(I29&gt;DATEVALUE(H29),"[Red] Overdue by " &amp; (I29-DATEVALUE(H29)) &amp; " days",IF(DATEVALUE(H29)&gt;I29,"[Green] Early by " &amp; (DATEVALUE(H29)-I29) &amp; " days","[Yellow] On Time")),IF((DATEVALUE(H29)-TODAY())&lt;=3,"[Yellow] Due in " &amp; (DATEVALUE(H29)-TODAY()) &amp; " days",IF(TODAY()&gt;DATEVALUE(H29),"[Red] Overdue - Not Completed","[Green] " &amp; (DATEVALUE(H29)-TODAY()) &amp; " days to due")))</f>
        <v/>
      </c>
      <c r="K29" s="331" t="n">
        <v>20</v>
      </c>
      <c r="L29" s="328" t="inlineStr">
        <is>
          <t>T9 核心交付物</t>
        </is>
      </c>
      <c r="M29" s="270" t="n"/>
      <c r="N29" s="245" t="n"/>
      <c r="O29" s="245" t="n"/>
    </row>
    <row r="30" ht="6" customHeight="1" s="195">
      <c r="A30" s="215" t="n"/>
      <c r="B30" s="215" t="n"/>
      <c r="C30" s="215" t="n"/>
      <c r="D30" s="215" t="n"/>
      <c r="E30" s="215" t="n"/>
      <c r="F30" s="215" t="n"/>
      <c r="G30" s="215" t="n"/>
      <c r="H30" s="215" t="n"/>
      <c r="I30" s="215" t="n"/>
      <c r="J30" s="215" t="n"/>
      <c r="K30" s="215" t="n"/>
      <c r="L30" s="215" t="n"/>
    </row>
    <row r="31" ht="25.5" customHeight="1" s="195">
      <c r="A31" s="340" t="inlineStr">
        <is>
          <t xml:space="preserve">  Phase 5｜系統整合測試</t>
        </is>
      </c>
      <c r="B31" s="197" t="n"/>
      <c r="C31" s="197" t="n"/>
      <c r="D31" s="197" t="n"/>
      <c r="E31" s="197" t="n"/>
      <c r="F31" s="197" t="n"/>
      <c r="G31" s="197" t="n"/>
      <c r="H31" s="197" t="n"/>
      <c r="I31" s="197" t="n"/>
      <c r="J31" s="197" t="n"/>
      <c r="K31" s="197" t="n"/>
      <c r="L31" s="198" t="n"/>
    </row>
    <row r="32" ht="30" customHeight="1" s="195">
      <c r="A32" s="333" t="inlineStr">
        <is>
          <t>系統整合測試</t>
        </is>
      </c>
      <c r="B32" s="334" t="inlineStr">
        <is>
          <t>報告審查</t>
        </is>
      </c>
      <c r="C32" s="333" t="inlineStr">
        <is>
          <t>T7-20</t>
        </is>
      </c>
      <c r="D32" s="308" t="inlineStr">
        <is>
          <t>完整評估報告內部審查</t>
        </is>
      </c>
      <c r="E32" s="335" t="inlineStr">
        <is>
          <t>Alf + Jimmy 相互審查完整評估報告</t>
        </is>
      </c>
      <c r="F32" s="335" t="inlineStr">
        <is>
          <t>評估報告審查記錄</t>
        </is>
      </c>
      <c r="G32" s="333" t="inlineStr">
        <is>
          <t>Jimmy</t>
        </is>
      </c>
      <c r="H32" s="334" t="inlineStr">
        <is>
          <t>2026-08-29</t>
        </is>
      </c>
      <c r="I32" s="329" t="n"/>
      <c r="J32" s="336">
        <f>IF(I32&lt;&gt;"",IF(I32&gt;DATEVALUE(H32),"[Red] Overdue by " &amp; (I32-DATEVALUE(H32)) &amp; " days",IF(DATEVALUE(H32)&gt;I32,"[Green] Early by " &amp; (DATEVALUE(H32)-I32) &amp; " days","[Yellow] On Time")),IF((DATEVALUE(H32)-TODAY())&lt;=3,"[Yellow] Due in " &amp; (DATEVALUE(H32)-TODAY()) &amp; " days",IF(TODAY()&gt;DATEVALUE(H32),"[Red] Overdue - Not Completed","[Green] " &amp; (DATEVALUE(H32)-TODAY()) &amp; " days to due")))</f>
        <v/>
      </c>
      <c r="K32" s="337" t="n">
        <v>20</v>
      </c>
      <c r="L32" s="335" t="n"/>
      <c r="M32" s="270" t="n"/>
      <c r="N32" s="245" t="n"/>
      <c r="O32" s="245" t="n"/>
    </row>
    <row r="33" ht="30" customHeight="1" s="195">
      <c r="A33" s="326" t="inlineStr">
        <is>
          <t>系統整合測試</t>
        </is>
      </c>
      <c r="B33" s="327" t="inlineStr">
        <is>
          <t>主管簡報</t>
        </is>
      </c>
      <c r="C33" s="326" t="inlineStr">
        <is>
          <t>T7-21</t>
        </is>
      </c>
      <c r="D33" s="314" t="inlineStr">
        <is>
          <t>主管決策會議與簡報</t>
        </is>
      </c>
      <c r="E33" s="328" t="inlineStr">
        <is>
          <t>向主管簡報 OpenVitamin 評估結果與引進建議，獲得正式決策</t>
        </is>
      </c>
      <c r="F33" s="328" t="inlineStr">
        <is>
          <t>主管決策會議記錄</t>
        </is>
      </c>
      <c r="G33" s="326" t="inlineStr">
        <is>
          <t>Alf</t>
        </is>
      </c>
      <c r="H33" s="327" t="inlineStr">
        <is>
          <t>2026-08-31</t>
        </is>
      </c>
      <c r="I33" s="329" t="n"/>
      <c r="J33" s="330">
        <f>IF(I33&lt;&gt;"",IF(I33&gt;DATEVALUE(H33),"[Red] Overdue by " &amp; (I33-DATEVALUE(H33)) &amp; " days",IF(DATEVALUE(H33)&gt;I33,"[Green] Early by " &amp; (DATEVALUE(H33)-I33) &amp; " days","[Yellow] On Time")),IF((DATEVALUE(H33)-TODAY())&lt;=3,"[Yellow] Due in " &amp; (DATEVALUE(H33)-TODAY()) &amp; " days",IF(TODAY()&gt;DATEVALUE(H33),"[Red] Overdue - Not Completed","[Green] " &amp; (DATEVALUE(H33)-TODAY()) &amp; " days to due")))</f>
        <v/>
      </c>
      <c r="K33" s="331" t="n">
        <v>0</v>
      </c>
      <c r="L33" s="328" t="inlineStr">
        <is>
          <t>T9 最終交付</t>
        </is>
      </c>
      <c r="M33" s="270" t="n"/>
      <c r="N33" s="245" t="n"/>
      <c r="O33" s="245" t="n"/>
    </row>
    <row r="34" ht="6" customHeight="1" s="195">
      <c r="A34" s="215" t="n"/>
      <c r="B34" s="215" t="n"/>
      <c r="C34" s="215" t="n"/>
      <c r="D34" s="215" t="n"/>
      <c r="E34" s="215" t="n"/>
      <c r="F34" s="215" t="n"/>
      <c r="G34" s="215" t="n"/>
      <c r="H34" s="215" t="n"/>
      <c r="I34" s="215" t="n"/>
      <c r="J34" s="215" t="n"/>
      <c r="K34" s="215" t="n"/>
      <c r="L34" s="215" t="n"/>
    </row>
    <row r="35" ht="25.5" customHeight="1" s="195">
      <c r="A35" s="341" t="inlineStr">
        <is>
          <t xml:space="preserve">  Phase 6｜驗收交付標準</t>
        </is>
      </c>
      <c r="B35" s="197" t="n"/>
      <c r="C35" s="197" t="n"/>
      <c r="D35" s="197" t="n"/>
      <c r="E35" s="197" t="n"/>
      <c r="F35" s="197" t="n"/>
      <c r="G35" s="197" t="n"/>
      <c r="H35" s="197" t="n"/>
      <c r="I35" s="197" t="n"/>
      <c r="J35" s="197" t="n"/>
      <c r="K35" s="197" t="n"/>
      <c r="L35" s="198" t="n"/>
    </row>
    <row r="36" ht="30" customHeight="1" s="195">
      <c r="A36" s="326" t="inlineStr">
        <is>
          <t>驗收交付標準</t>
        </is>
      </c>
      <c r="B36" s="327" t="inlineStr">
        <is>
          <t>交付清單</t>
        </is>
      </c>
      <c r="C36" s="326" t="inlineStr">
        <is>
          <t>T7-22</t>
        </is>
      </c>
      <c r="D36" s="314" t="inlineStr">
        <is>
          <t>完整交付文件包驗收</t>
        </is>
      </c>
      <c r="E36" s="328" t="inlineStr">
        <is>
          <t>交付完整文件包：功能分析v5、原生架構v3、整合規劃、三方案比較報告、API缺口報告、引進建議書</t>
        </is>
      </c>
      <c r="F36" s="328" t="inlineStr">
        <is>
          <t>OpenVitamin 評估完整交付包</t>
        </is>
      </c>
      <c r="G36" s="326" t="inlineStr">
        <is>
          <t>Alf</t>
        </is>
      </c>
      <c r="H36" s="327" t="inlineStr">
        <is>
          <t>2026-08-31</t>
        </is>
      </c>
      <c r="I36" s="329" t="n"/>
      <c r="J36" s="330">
        <f>IF(I36&lt;&gt;"",IF(I36&gt;DATEVALUE(H36),"[Red] Overdue by " &amp; (I36-DATEVALUE(H36)) &amp; " days",IF(DATEVALUE(H36)&gt;I36,"[Green] Early by " &amp; (DATEVALUE(H36)-I36) &amp; " days","[Yellow] On Time")),IF((DATEVALUE(H36)-TODAY())&lt;=3,"[Yellow] Due in " &amp; (DATEVALUE(H36)-TODAY()) &amp; " days",IF(TODAY()&gt;DATEVALUE(H36),"[Red] Overdue - Not Completed","[Green] " &amp; (DATEVALUE(H36)-TODAY()) &amp; " days to due")))</f>
        <v/>
      </c>
      <c r="K36" s="331" t="n">
        <v>0</v>
      </c>
      <c r="L36" s="328" t="inlineStr">
        <is>
          <t>T9 最終交付</t>
        </is>
      </c>
      <c r="M36" s="270" t="n"/>
      <c r="N36" s="245" t="n"/>
      <c r="O36" s="245" t="n"/>
    </row>
    <row r="37" ht="6" customHeight="1" s="195">
      <c r="A37" s="215" t="n"/>
      <c r="B37" s="215" t="n"/>
      <c r="C37" s="215" t="n"/>
      <c r="D37" s="215" t="n"/>
      <c r="E37" s="215" t="n"/>
      <c r="F37" s="215" t="n"/>
      <c r="G37" s="215" t="n"/>
      <c r="H37" s="215" t="n"/>
      <c r="I37" s="215" t="n"/>
      <c r="J37" s="215" t="n"/>
      <c r="K37" s="215" t="n"/>
      <c r="L37" s="215" t="n"/>
    </row>
    <row r="38" ht="25.5" customHeight="1" s="195">
      <c r="A38" s="342" t="inlineStr">
        <is>
          <t xml:space="preserve">  Phase 7｜文件化與知識傳承  ★ AI Agent 必備</t>
        </is>
      </c>
      <c r="B38" s="197" t="n"/>
      <c r="C38" s="197" t="n"/>
      <c r="D38" s="197" t="n"/>
      <c r="E38" s="197" t="n"/>
      <c r="F38" s="197" t="n"/>
      <c r="G38" s="197" t="n"/>
      <c r="H38" s="197" t="n"/>
      <c r="I38" s="197" t="n"/>
      <c r="J38" s="197" t="n"/>
      <c r="K38" s="197" t="n"/>
      <c r="L38" s="198" t="n"/>
    </row>
    <row r="39" ht="30" customHeight="1" s="195">
      <c r="A39" s="333" t="inlineStr">
        <is>
          <t>文件化與知識傳承</t>
        </is>
      </c>
      <c r="B39" s="334" t="inlineStr">
        <is>
          <t>技術SOP</t>
        </is>
      </c>
      <c r="C39" s="333" t="inlineStr">
        <is>
          <t>T7-23</t>
        </is>
      </c>
      <c r="D39" s="308" t="inlineStr">
        <is>
          <t>OpenVitamin 技術對接 SOP</t>
        </is>
      </c>
      <c r="E39" s="335" t="inlineStr">
        <is>
          <t>編寫技術對接標準作業程序（含錯誤處理、Recovery步驟）</t>
        </is>
      </c>
      <c r="F39" s="335" t="inlineStr">
        <is>
          <t>技術對接 SOP</t>
        </is>
      </c>
      <c r="G39" s="333" t="inlineStr">
        <is>
          <t>Jimmy</t>
        </is>
      </c>
      <c r="H39" s="334" t="inlineStr">
        <is>
          <t>2026-08-29</t>
        </is>
      </c>
      <c r="I39" s="329" t="n"/>
      <c r="J39" s="336">
        <f>IF(I39&lt;&gt;"",IF(I39&gt;DATEVALUE(H39),"[Red] Overdue by " &amp; (I39-DATEVALUE(H39)) &amp; " days",IF(DATEVALUE(H39)&gt;I39,"[Green] Early by " &amp; (DATEVALUE(H39)-I39) &amp; " days","[Yellow] On Time")),IF((DATEVALUE(H39)-TODAY())&lt;=3,"[Yellow] Due in " &amp; (DATEVALUE(H39)-TODAY()) &amp; " days",IF(TODAY()&gt;DATEVALUE(H39),"[Red] Overdue - Not Completed","[Green] " &amp; (DATEVALUE(H39)-TODAY()) &amp; " days to due")))</f>
        <v/>
      </c>
      <c r="K39" s="337" t="n">
        <v>20</v>
      </c>
      <c r="L39" s="335" t="inlineStr">
        <is>
          <t>知識沉澱</t>
        </is>
      </c>
      <c r="M39" s="270" t="n"/>
      <c r="N39" s="245" t="n"/>
      <c r="O39" s="245" t="n"/>
    </row>
    <row r="40" ht="30" customHeight="1" s="195">
      <c r="A40" s="326" t="inlineStr">
        <is>
          <t>文件化與知識傳承</t>
        </is>
      </c>
      <c r="B40" s="327" t="inlineStr">
        <is>
          <t>操作手冊</t>
        </is>
      </c>
      <c r="C40" s="326" t="inlineStr">
        <is>
          <t>T7-24</t>
        </is>
      </c>
      <c r="D40" s="314" t="inlineStr">
        <is>
          <t>OpenVitamin 操作手冊</t>
        </is>
      </c>
      <c r="E40" s="328" t="inlineStr">
        <is>
          <t>編寫內部使用者操作手冊（含帳號管理、故障排除、保養維護）</t>
        </is>
      </c>
      <c r="F40" s="328" t="inlineStr">
        <is>
          <t>OpenVitamin 操作手冊</t>
        </is>
      </c>
      <c r="G40" s="326" t="inlineStr">
        <is>
          <t>Alf</t>
        </is>
      </c>
      <c r="H40" s="327" t="inlineStr">
        <is>
          <t>2026-08-31</t>
        </is>
      </c>
      <c r="I40" s="329" t="n"/>
      <c r="J40" s="330">
        <f>IF(I40&lt;&gt;"",IF(I40&gt;DATEVALUE(H40),"[Red] Overdue by " &amp; (I40-DATEVALUE(H40)) &amp; " days",IF(DATEVALUE(H40)&gt;I40,"[Green] Early by " &amp; (DATEVALUE(H40)-I40) &amp; " days","[Yellow] On Time")),IF((DATEVALUE(H40)-TODAY())&lt;=3,"[Yellow] Due in " &amp; (DATEVALUE(H40)-TODAY()) &amp; " days",IF(TODAY()&gt;DATEVALUE(H40),"[Red] Overdue - Not Completed","[Green] " &amp; (DATEVALUE(H40)-TODAY()) &amp; " days to due")))</f>
        <v/>
      </c>
      <c r="K40" s="331" t="n">
        <v>0</v>
      </c>
      <c r="L40" s="328" t="n"/>
      <c r="M40" s="270" t="n"/>
      <c r="N40" s="245" t="n"/>
      <c r="O40" s="245" t="n"/>
    </row>
    <row r="41" ht="30" customHeight="1" s="195">
      <c r="A41" s="326" t="inlineStr">
        <is>
          <t>文件化與知識傳承</t>
        </is>
      </c>
      <c r="B41" s="327" t="inlineStr">
        <is>
          <t>方法論積累</t>
        </is>
      </c>
      <c r="C41" s="326" t="inlineStr">
        <is>
          <t>T7-25</t>
        </is>
      </c>
      <c r="D41" s="314" t="inlineStr">
        <is>
          <t>評估方法論與比較基準文件</t>
        </is>
      </c>
      <c r="E41" s="328" t="inlineStr">
        <is>
          <t>將判斷邏輯、決策框架、比較維度結構化存入 Neo4j</t>
        </is>
      </c>
      <c r="F41" s="328" t="inlineStr">
        <is>
          <t>AI Agent 評估方法論知識庫</t>
        </is>
      </c>
      <c r="G41" s="326" t="inlineStr">
        <is>
          <t>Alf</t>
        </is>
      </c>
      <c r="H41" s="327" t="inlineStr">
        <is>
          <t>2026-09-05</t>
        </is>
      </c>
      <c r="I41" s="329" t="n"/>
      <c r="J41" s="330">
        <f>IF(I41&lt;&gt;"",IF(I41&gt;DATEVALUE(H41),"[Red] Overdue by " &amp; (I41-DATEVALUE(H41)) &amp; " days",IF(DATEVALUE(H41)&gt;I41,"[Green] Early by " &amp; (DATEVALUE(H41)-I41) &amp; " days","[Yellow] On Time")),IF((DATEVALUE(H41)-TODAY())&lt;=3,"[Yellow] Due in " &amp; (DATEVALUE(H41)-TODAY()) &amp; " days",IF(TODAY()&gt;DATEVALUE(H41),"[Red] Overdue - Not Completed","[Green] " &amp; (DATEVALUE(H41)-TODAY()) &amp; " days to due")))</f>
        <v/>
      </c>
      <c r="K41" s="331" t="n">
        <v>0</v>
      </c>
      <c r="L41" s="328" t="inlineStr">
        <is>
          <t>存入 Neo4j，供日後復用</t>
        </is>
      </c>
      <c r="M41" s="270" t="n"/>
      <c r="N41" s="245" t="n"/>
      <c r="O41" s="245" t="n"/>
    </row>
    <row r="42" ht="30" customHeight="1" s="195">
      <c r="A42" s="326" t="inlineStr">
        <is>
          <t>文件化與知識傳承</t>
        </is>
      </c>
      <c r="B42" s="327" t="inlineStr">
        <is>
          <t>完整知識庫</t>
        </is>
      </c>
      <c r="C42" s="326" t="inlineStr">
        <is>
          <t>T7-26</t>
        </is>
      </c>
      <c r="D42" s="314" t="inlineStr">
        <is>
          <t>Neo4j OpenVitamin 完整知識庫建置</t>
        </is>
      </c>
      <c r="E42" s="328" t="inlineStr">
        <is>
          <t>將功能知識、設備整合知識、評估經驗、判斷邏輯全部存入 Neo4j</t>
        </is>
      </c>
      <c r="F42" s="328" t="inlineStr">
        <is>
          <t>Neo4j OpenVitamin 完整知識庫</t>
        </is>
      </c>
      <c r="G42" s="326" t="inlineStr">
        <is>
          <t>Alf</t>
        </is>
      </c>
      <c r="H42" s="327" t="inlineStr">
        <is>
          <t>2026-09-10</t>
        </is>
      </c>
      <c r="I42" s="329" t="n"/>
      <c r="J42" s="330">
        <f>IF(I42&lt;&gt;"",IF(I42&gt;DATEVALUE(H42),"[Red] Overdue by " &amp; (I42-DATEVALUE(H42)) &amp; " days",IF(DATEVALUE(H42)&gt;I42,"[Green] Early by " &amp; (DATEVALUE(H42)-I42) &amp; " days","[Yellow] On Time")),IF((DATEVALUE(H42)-TODAY())&lt;=3,"[Yellow] Due in " &amp; (DATEVALUE(H42)-TODAY()) &amp; " days",IF(TODAY()&gt;DATEVALUE(H42),"[Red] Overdue - Not Completed","[Green] " &amp; (DATEVALUE(H42)-TODAY()) &amp; " days to due")))</f>
        <v/>
      </c>
      <c r="K42" s="331" t="n">
        <v>0</v>
      </c>
      <c r="L42" s="328" t="inlineStr">
        <is>
          <t>★ 為 L4/L5 Agent 準備的知識基礎</t>
        </is>
      </c>
      <c r="M42" s="270" t="n"/>
      <c r="N42" s="245" t="n"/>
      <c r="O42" s="245" t="n"/>
    </row>
    <row r="43" ht="30" customHeight="1" s="195">
      <c r="A43" s="326" t="inlineStr">
        <is>
          <t>文件化與知識傳承</t>
        </is>
      </c>
      <c r="B43" s="327" t="inlineStr">
        <is>
          <t>經驗傳承報告</t>
        </is>
      </c>
      <c r="C43" s="326" t="inlineStr">
        <is>
          <t>T7-27</t>
        </is>
      </c>
      <c r="D43" s="314" t="inlineStr">
        <is>
          <t>評估經驗傳承報告</t>
        </is>
      </c>
      <c r="E43" s="328" t="inlineStr">
        <is>
          <t>將此次評估的經驗教訓、成功關鍵、風險緩解策略整理為內部傳承文件</t>
        </is>
      </c>
      <c r="F43" s="328" t="inlineStr">
        <is>
          <t>評估經驗傳承報告</t>
        </is>
      </c>
      <c r="G43" s="326" t="inlineStr">
        <is>
          <t>Alf</t>
        </is>
      </c>
      <c r="H43" s="327" t="inlineStr">
        <is>
          <t>2026-09-15</t>
        </is>
      </c>
      <c r="I43" s="329" t="n"/>
      <c r="J43" s="330">
        <f>IF(I43&lt;&gt;"",IF(I43&gt;DATEVALUE(H43),"[Red] Overdue by " &amp; (I43-DATEVALUE(H43)) &amp; " days",IF(DATEVALUE(H43)&gt;I43,"[Green] Early by " &amp; (DATEVALUE(H43)-I43) &amp; " days","[Yellow] On Time")),IF((DATEVALUE(H43)-TODAY())&lt;=3,"[Yellow] Due in " &amp; (DATEVALUE(H43)-TODAY()) &amp; " days",IF(TODAY()&gt;DATEVALUE(H43),"[Red] Overdue - Not Completed","[Green] " &amp; (DATEVALUE(H43)-TODAY()) &amp; " days to due")))</f>
        <v/>
      </c>
      <c r="K43" s="331" t="n">
        <v>0</v>
      </c>
      <c r="L43" s="328" t="inlineStr">
        <is>
          <t>知識沉澱與組織學習</t>
        </is>
      </c>
      <c r="M43" s="270" t="n"/>
      <c r="N43" s="245" t="n"/>
      <c r="O43" s="245" t="n"/>
    </row>
  </sheetData>
  <mergeCells count="9">
    <mergeCell ref="A24:L24"/>
    <mergeCell ref="A2:L2"/>
    <mergeCell ref="A16:L16"/>
    <mergeCell ref="A38:L38"/>
    <mergeCell ref="A10:L10"/>
    <mergeCell ref="A1:L1"/>
    <mergeCell ref="A31:L31"/>
    <mergeCell ref="A35:L35"/>
    <mergeCell ref="A4:L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M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6.00390625" defaultRowHeight="15.75" zeroHeight="0" outlineLevelRow="0"/>
  <cols>
    <col width="13.86" customWidth="1" style="194" min="1" max="2"/>
    <col width="20.29" customWidth="1" style="194" min="3" max="3"/>
  </cols>
  <sheetData>
    <row r="1" ht="45" customHeight="1" s="195">
      <c r="A1" s="343" t="inlineStr">
        <is>
          <t>⭐ T8 Sub2Api 建置計劃 — 專案時程  |  W31 (2026-07)</t>
        </is>
      </c>
      <c r="B1" s="197" t="n"/>
      <c r="C1" s="197" t="n"/>
      <c r="D1" s="197" t="n"/>
      <c r="E1" s="197" t="n"/>
      <c r="F1" s="197" t="n"/>
      <c r="G1" s="197" t="n"/>
      <c r="H1" s="198" t="n"/>
    </row>
    <row r="2" ht="45" customHeight="1" s="195">
      <c r="A2" s="323" t="inlineStr">
        <is>
          <t>報告產生：2026-08-03    部門：驗證三部    主責：Alf    目標：2026-09-30</t>
        </is>
      </c>
    </row>
    <row r="3" ht="45" customHeight="1" s="195">
      <c r="A3" s="202" t="inlineStr">
        <is>
          <t>▌ T8 專案時程</t>
        </is>
      </c>
      <c r="B3" s="197" t="n"/>
      <c r="C3" s="197" t="n"/>
      <c r="D3" s="197" t="n"/>
      <c r="E3" s="197" t="n"/>
      <c r="F3" s="197" t="n"/>
      <c r="G3" s="197" t="n"/>
      <c r="H3" s="198" t="n"/>
      <c r="J3" s="202" t="inlineStr">
        <is>
          <t>▌ 現況痛點 (P1-P5)</t>
        </is>
      </c>
      <c r="K3" s="197" t="n"/>
      <c r="L3" s="197" t="n"/>
      <c r="M3" s="198" t="n"/>
    </row>
    <row r="4" ht="45" customHeight="1" s="195">
      <c r="A4" s="201" t="inlineStr">
        <is>
          <t>階段</t>
        </is>
      </c>
      <c r="B4" s="201" t="inlineStr">
        <is>
          <t>#</t>
        </is>
      </c>
      <c r="C4" s="201" t="inlineStr">
        <is>
          <t>任務名稱</t>
        </is>
      </c>
      <c r="D4" s="201" t="inlineStr">
        <is>
          <t>負責人</t>
        </is>
      </c>
      <c r="E4" s="201" t="inlineStr">
        <is>
          <t>預計完成日</t>
        </is>
      </c>
      <c r="F4" s="201" t="inlineStr">
        <is>
          <t>進度</t>
        </is>
      </c>
      <c r="G4" s="201" t="inlineStr">
        <is>
          <t>風險</t>
        </is>
      </c>
      <c r="H4" s="201" t="inlineStr">
        <is>
          <t>交付至</t>
        </is>
      </c>
      <c r="J4" s="201" t="inlineStr">
        <is>
          <t>#</t>
        </is>
      </c>
      <c r="K4" s="201" t="n"/>
      <c r="L4" s="201" t="inlineStr">
        <is>
          <t>痛點</t>
        </is>
      </c>
      <c r="M4" s="344" t="inlineStr">
        <is>
          <t>等級</t>
        </is>
      </c>
    </row>
    <row r="5" ht="45" customHeight="1" s="195">
      <c r="A5" s="345" t="inlineStr">
        <is>
          <t>Phase 0</t>
        </is>
      </c>
      <c r="B5" s="346" t="inlineStr">
        <is>
          <t>T8-1</t>
        </is>
      </c>
      <c r="C5" s="347" t="inlineStr">
        <is>
          <t>POC 測試與設計確認</t>
        </is>
      </c>
      <c r="D5" s="348" t="inlineStr">
        <is>
          <t>Alf</t>
        </is>
      </c>
      <c r="E5" s="348" t="inlineStr">
        <is>
          <t>2026-08-08</t>
        </is>
      </c>
      <c r="F5" s="349" t="inlineStr">
        <is>
          <t>20%</t>
        </is>
      </c>
      <c r="G5" s="350" t="inlineStr">
        <is>
          <t>低</t>
        </is>
      </c>
      <c r="H5" s="351" t="inlineStr">
        <is>
          <t>驗證三部/專案計畫</t>
        </is>
      </c>
      <c r="J5" s="352" t="inlineStr">
        <is>
          <t>P1</t>
        </is>
      </c>
      <c r="K5" s="353" t="n"/>
      <c r="L5" s="354" t="inlineStr">
        <is>
          <t>各自獨立無統一管理</t>
        </is>
      </c>
      <c r="M5" s="349" t="inlineStr">
        <is>
          <t>高</t>
        </is>
      </c>
    </row>
    <row r="6" ht="45" customHeight="1" s="195">
      <c r="A6" s="355" t="inlineStr">
        <is>
          <t>Phase 1</t>
        </is>
      </c>
      <c r="B6" s="352" t="inlineStr">
        <is>
          <t>T8-2</t>
        </is>
      </c>
      <c r="C6" s="356" t="inlineStr">
        <is>
          <t>Core API 核心開發</t>
        </is>
      </c>
      <c r="D6" s="357" t="inlineStr">
        <is>
          <t>Alf</t>
        </is>
      </c>
      <c r="E6" s="357" t="inlineStr">
        <is>
          <t>2026-08-31</t>
        </is>
      </c>
      <c r="F6" s="349" t="inlineStr">
        <is>
          <t>20%</t>
        </is>
      </c>
      <c r="G6" s="358" t="inlineStr">
        <is>
          <t>中</t>
        </is>
      </c>
      <c r="H6" s="359" t="inlineStr">
        <is>
          <t>驗證三部/專案計畫</t>
        </is>
      </c>
      <c r="J6" s="360" t="inlineStr">
        <is>
          <t>P2</t>
        </is>
      </c>
      <c r="K6" s="361" t="n"/>
      <c r="L6" s="362" t="inlineStr">
        <is>
          <t>成本不透明</t>
        </is>
      </c>
      <c r="M6" s="349" t="inlineStr">
        <is>
          <t>高</t>
        </is>
      </c>
    </row>
    <row r="7" ht="45" customHeight="1" s="195">
      <c r="A7" s="363" t="inlineStr">
        <is>
          <t>Phase 2</t>
        </is>
      </c>
      <c r="B7" s="364" t="inlineStr">
        <is>
          <t>T8-3</t>
        </is>
      </c>
      <c r="C7" s="365" t="inlineStr">
        <is>
          <t>AI 平台集成</t>
        </is>
      </c>
      <c r="D7" s="366" t="inlineStr">
        <is>
          <t>Alf / Jimmy</t>
        </is>
      </c>
      <c r="E7" s="366" t="inlineStr">
        <is>
          <t>2026-09-15</t>
        </is>
      </c>
      <c r="F7" s="349" t="inlineStr">
        <is>
          <t>20%</t>
        </is>
      </c>
      <c r="G7" s="358" t="inlineStr">
        <is>
          <t>中</t>
        </is>
      </c>
      <c r="H7" s="367" t="inlineStr">
        <is>
          <t>驗證三部/專案計畫</t>
        </is>
      </c>
      <c r="J7" s="352" t="inlineStr">
        <is>
          <t>P3</t>
        </is>
      </c>
      <c r="K7" s="353" t="n"/>
      <c r="L7" s="354" t="inlineStr">
        <is>
          <t>資料安全無保障</t>
        </is>
      </c>
      <c r="M7" s="349" t="inlineStr">
        <is>
          <t>高</t>
        </is>
      </c>
    </row>
    <row r="8" ht="45" customHeight="1" s="195">
      <c r="A8" s="368" t="inlineStr">
        <is>
          <t>Phase 3</t>
        </is>
      </c>
      <c r="B8" s="369" t="inlineStr">
        <is>
          <t>T8-4</t>
        </is>
      </c>
      <c r="C8" s="370" t="inlineStr">
        <is>
          <t>OpenClaw Agent 整合</t>
        </is>
      </c>
      <c r="D8" s="232" t="inlineStr">
        <is>
          <t>Alf / Sam</t>
        </is>
      </c>
      <c r="E8" s="232" t="inlineStr">
        <is>
          <t>2026-09-22</t>
        </is>
      </c>
      <c r="F8" s="349" t="inlineStr">
        <is>
          <t>20%</t>
        </is>
      </c>
      <c r="G8" s="350" t="inlineStr">
        <is>
          <t>低</t>
        </is>
      </c>
      <c r="H8" s="235" t="inlineStr">
        <is>
          <t>驗證三部/專案計畫</t>
        </is>
      </c>
      <c r="J8" s="360" t="inlineStr">
        <is>
          <t>P4</t>
        </is>
      </c>
      <c r="K8" s="361" t="n"/>
      <c r="L8" s="371" t="inlineStr">
        <is>
          <t>工具系統複雜</t>
        </is>
      </c>
      <c r="M8" s="372" t="inlineStr">
        <is>
          <t>中</t>
        </is>
      </c>
    </row>
    <row r="9" ht="45" customHeight="1" s="195">
      <c r="A9" s="373" t="inlineStr">
        <is>
          <t>Phase 4</t>
        </is>
      </c>
      <c r="B9" s="374" t="inlineStr">
        <is>
          <t>T8-5</t>
        </is>
      </c>
      <c r="C9" s="375" t="inlineStr">
        <is>
          <t>總測試與上線</t>
        </is>
      </c>
      <c r="D9" s="211" t="inlineStr">
        <is>
          <t>Alf / Sam</t>
        </is>
      </c>
      <c r="E9" s="211" t="inlineStr">
        <is>
          <t>2026-09-30</t>
        </is>
      </c>
      <c r="F9" s="349" t="inlineStr">
        <is>
          <t>20%</t>
        </is>
      </c>
      <c r="G9" s="350" t="inlineStr">
        <is>
          <t>低</t>
        </is>
      </c>
      <c r="H9" s="214" t="inlineStr">
        <is>
          <t>驗證三部/專案計畫</t>
        </is>
      </c>
      <c r="J9" s="352" t="inlineStr">
        <is>
          <t>P5</t>
        </is>
      </c>
      <c r="K9" s="353" t="n"/>
      <c r="L9" s="354" t="inlineStr">
        <is>
          <t>合規要求無解</t>
        </is>
      </c>
      <c r="M9" s="349" t="inlineStr">
        <is>
          <t>高</t>
        </is>
      </c>
    </row>
    <row r="11" ht="45" customHeight="1" s="195">
      <c r="A11" s="202" t="inlineStr">
        <is>
          <t>▌ Sub2Api 解決方案 (S1-S5)</t>
        </is>
      </c>
      <c r="B11" s="197" t="n"/>
      <c r="C11" s="197" t="n"/>
      <c r="D11" s="197" t="n"/>
      <c r="E11" s="197" t="n"/>
      <c r="F11" s="197" t="n"/>
      <c r="G11" s="197" t="n"/>
      <c r="H11" s="198" t="n"/>
    </row>
    <row r="12" ht="45" customHeight="1" s="195">
      <c r="A12" s="201" t="inlineStr">
        <is>
          <t>#</t>
        </is>
      </c>
      <c r="B12" s="201" t="n"/>
      <c r="C12" s="201" t="inlineStr">
        <is>
          <t>解決方案</t>
        </is>
      </c>
      <c r="D12" s="201" t="inlineStr">
        <is>
          <t>影響</t>
        </is>
      </c>
      <c r="E12" s="197" t="n"/>
      <c r="F12" s="197" t="n"/>
      <c r="G12" s="197" t="n"/>
      <c r="H12" s="198" t="n"/>
    </row>
    <row r="13" ht="45" customHeight="1" s="195">
      <c r="A13" s="369" t="inlineStr">
        <is>
          <t>S1</t>
        </is>
      </c>
      <c r="B13" s="231" t="n"/>
      <c r="C13" s="376" t="inlineStr">
        <is>
          <t>統一 API 端點</t>
        </is>
      </c>
      <c r="D13" s="231" t="inlineStr">
        <is>
          <t>✔ 一個接口接入所有AI平台</t>
        </is>
      </c>
      <c r="E13" s="197" t="n"/>
      <c r="F13" s="197" t="n"/>
      <c r="G13" s="197" t="n"/>
      <c r="H13" s="198" t="n"/>
    </row>
    <row r="14" ht="45" customHeight="1" s="195">
      <c r="A14" s="374" t="inlineStr">
        <is>
          <t>S2</t>
        </is>
      </c>
      <c r="B14" s="210" t="n"/>
      <c r="C14" s="377" t="inlineStr">
        <is>
          <t>多帳號分層管理</t>
        </is>
      </c>
      <c r="D14" s="210" t="inlineStr">
        <is>
          <t>✔ ChatGPT/Claude/本地LLM 分別 quota</t>
        </is>
      </c>
      <c r="E14" s="197" t="n"/>
      <c r="F14" s="197" t="n"/>
      <c r="G14" s="197" t="n"/>
      <c r="H14" s="198" t="n"/>
    </row>
    <row r="15" ht="45" customHeight="1" s="195">
      <c r="A15" s="378" t="inlineStr">
        <is>
          <t>S3</t>
        </is>
      </c>
      <c r="B15" s="379" t="n"/>
      <c r="C15" s="380" t="inlineStr">
        <is>
          <t>即時用量監控</t>
        </is>
      </c>
      <c r="D15" s="379" t="inlineStr">
        <is>
          <t>✔ 每天/每週自動生成用量報表</t>
        </is>
      </c>
      <c r="E15" s="197" t="n"/>
      <c r="F15" s="197" t="n"/>
      <c r="G15" s="197" t="n"/>
      <c r="H15" s="198" t="n"/>
    </row>
    <row r="16" ht="45" customHeight="1" s="195">
      <c r="A16" s="364" t="inlineStr">
        <is>
          <t>S4</t>
        </is>
      </c>
      <c r="B16" s="381" t="n"/>
      <c r="C16" s="382" t="inlineStr">
        <is>
          <t>預算與限額控制</t>
        </is>
      </c>
      <c r="D16" s="381" t="inlineStr">
        <is>
          <t>✔ 超過上限自動停用</t>
        </is>
      </c>
      <c r="E16" s="197" t="n"/>
      <c r="F16" s="197" t="n"/>
      <c r="G16" s="197" t="n"/>
      <c r="H16" s="198" t="n"/>
    </row>
    <row r="17" ht="45" customHeight="1" s="195">
      <c r="A17" s="352" t="inlineStr">
        <is>
          <t>S5</t>
        </is>
      </c>
      <c r="B17" s="353" t="n"/>
      <c r="C17" s="383" t="inlineStr">
        <is>
          <t>資料安全保障</t>
        </is>
      </c>
      <c r="D17" s="353" t="inlineStr">
        <is>
          <t>✔ 機密資料留本地、Key 嚴管</t>
        </is>
      </c>
      <c r="E17" s="197" t="n"/>
      <c r="F17" s="197" t="n"/>
      <c r="G17" s="197" t="n"/>
      <c r="H17" s="198" t="n"/>
    </row>
    <row r="19" ht="45" customHeight="1" s="195">
      <c r="A19" s="202" t="inlineStr">
        <is>
          <t>▌ 系統架構 — 三引擎模式</t>
        </is>
      </c>
      <c r="B19" s="197" t="n"/>
      <c r="C19" s="197" t="n"/>
      <c r="D19" s="197" t="n"/>
      <c r="E19" s="197" t="n"/>
      <c r="F19" s="197" t="n"/>
      <c r="G19" s="197" t="n"/>
      <c r="H19" s="198" t="n"/>
    </row>
    <row r="20" ht="45" customHeight="1" s="195">
      <c r="A20" s="201" t="inlineStr">
        <is>
          <t>引擎</t>
        </is>
      </c>
      <c r="B20" s="201" t="inlineStr">
        <is>
          <t>功能定位</t>
        </is>
      </c>
      <c r="C20" s="201" t="inlineStr">
        <is>
          <t>核心任務</t>
        </is>
      </c>
      <c r="D20" s="201" t="inlineStr">
        <is>
          <t>優點</t>
        </is>
      </c>
      <c r="E20" s="197" t="n"/>
      <c r="F20" s="197" t="n"/>
      <c r="G20" s="197" t="n"/>
      <c r="H20" s="198" t="n"/>
    </row>
    <row r="21" ht="45" customHeight="1" s="195">
      <c r="A21" s="384" t="inlineStr">
        <is>
          <t>ChatGPT Business 5</t>
        </is>
      </c>
      <c r="B21" s="353" t="inlineStr">
        <is>
          <t>雲端主力開發引擎</t>
        </is>
      </c>
      <c r="C21" s="353" t="inlineStr">
        <is>
          <t>程式開發/架構設計/Code Review/RCA</t>
        </is>
      </c>
      <c r="D21" s="353" t="inlineStr">
        <is>
          <t>程式能力強、Root Cause分析精準</t>
        </is>
      </c>
      <c r="E21" s="197" t="n"/>
      <c r="F21" s="197" t="n"/>
      <c r="G21" s="197" t="n"/>
      <c r="H21" s="198" t="n"/>
    </row>
    <row r="22" ht="45" customHeight="1" s="195">
      <c r="A22" s="385" t="inlineStr">
        <is>
          <t>Local LLM (GB10+Qwen3.6)</t>
        </is>
      </c>
      <c r="B22" s="381" t="inlineStr">
        <is>
          <t>本地資安驗證引擎</t>
        </is>
      </c>
      <c r="C22" s="381" t="inlineStr">
        <is>
          <t>SAST/DAST/漏洞掃描/日誌分析/CVE</t>
        </is>
      </c>
      <c r="D22" s="381" t="inlineStr">
        <is>
          <t>資料不出廠、可離線、安全合規</t>
        </is>
      </c>
      <c r="E22" s="197" t="n"/>
      <c r="F22" s="197" t="n"/>
      <c r="G22" s="197" t="n"/>
      <c r="H22" s="198" t="n"/>
    </row>
    <row r="23" ht="45" customHeight="1" s="195">
      <c r="A23" s="386" t="inlineStr">
        <is>
          <t>sub2API 平台</t>
        </is>
      </c>
      <c r="B23" s="231" t="inlineStr">
        <is>
          <t>統一管理平台</t>
        </is>
      </c>
      <c r="C23" s="231" t="inlineStr">
        <is>
          <t>多帳號/用量監控/預算配額/API Key管理</t>
        </is>
      </c>
      <c r="D23" s="231" t="inlineStr">
        <is>
          <t>透明化管理、控制成本、提升資源效率</t>
        </is>
      </c>
      <c r="E23" s="197" t="n"/>
      <c r="F23" s="197" t="n"/>
      <c r="G23" s="197" t="n"/>
      <c r="H23" s="198" t="n"/>
    </row>
    <row r="25" ht="45" customHeight="1" s="195">
      <c r="A25" s="202" t="inlineStr">
        <is>
          <t>▌ 所需資源</t>
        </is>
      </c>
      <c r="B25" s="197" t="n"/>
      <c r="C25" s="197" t="n"/>
      <c r="D25" s="197" t="n"/>
      <c r="E25" s="197" t="n"/>
      <c r="F25" s="197" t="n"/>
      <c r="G25" s="197" t="n"/>
      <c r="H25" s="198" t="n"/>
    </row>
    <row r="26" ht="45" customHeight="1" s="195">
      <c r="A26" s="201" t="inlineStr">
        <is>
          <t>類別</t>
        </is>
      </c>
      <c r="B26" s="201" t="inlineStr">
        <is>
          <t>項目</t>
        </is>
      </c>
      <c r="C26" s="201" t="inlineStr">
        <is>
          <t>規格</t>
        </is>
      </c>
      <c r="D26" s="201" t="inlineStr">
        <is>
          <t>數量</t>
        </is>
      </c>
      <c r="E26" s="201" t="inlineStr">
        <is>
          <t>備註</t>
        </is>
      </c>
      <c r="F26" s="197" t="n"/>
      <c r="G26" s="197" t="n"/>
      <c r="H26" s="198" t="n"/>
    </row>
    <row r="27" ht="45" customHeight="1" s="195">
      <c r="A27" s="356" t="inlineStr">
        <is>
          <t>硬體</t>
        </is>
      </c>
      <c r="B27" s="353" t="inlineStr">
        <is>
          <t>NVIDIA GB10</t>
        </is>
      </c>
      <c r="C27" s="353" t="inlineStr">
        <is>
          <t>GPU 算力128GB+</t>
        </is>
      </c>
      <c r="D27" s="357" t="inlineStr">
        <is>
          <t>1</t>
        </is>
      </c>
      <c r="E27" s="359" t="inlineStr">
        <is>
          <t>本地 LLM 模式必備</t>
        </is>
      </c>
      <c r="F27" s="197" t="n"/>
      <c r="G27" s="197" t="n"/>
      <c r="H27" s="198" t="n"/>
    </row>
    <row r="28" ht="45" customHeight="1" s="195">
      <c r="A28" s="387" t="inlineStr">
        <is>
          <t>軟體</t>
        </is>
      </c>
      <c r="B28" s="361" t="inlineStr">
        <is>
          <t>Qwen3.6 大容量模型</t>
        </is>
      </c>
      <c r="C28" s="361" t="inlineStr">
        <is>
          <t>16GB+ VRAM</t>
        </is>
      </c>
      <c r="D28" s="388" t="inlineStr">
        <is>
          <t>1</t>
        </is>
      </c>
      <c r="E28" s="389" t="inlineStr">
        <is>
          <t>本地資安驗證使用</t>
        </is>
      </c>
      <c r="F28" s="197" t="n"/>
      <c r="G28" s="197" t="n"/>
      <c r="H28" s="198" t="n"/>
    </row>
    <row r="29" ht="45" customHeight="1" s="195">
      <c r="A29" s="356" t="inlineStr">
        <is>
          <t>網路</t>
        </is>
      </c>
      <c r="B29" s="353" t="inlineStr">
        <is>
          <t>雙 WAN（客戶端+帳號管理）</t>
        </is>
      </c>
      <c r="C29" s="353" t="inlineStr">
        <is>
          <t>基本網路需求</t>
        </is>
      </c>
      <c r="D29" s="357" t="inlineStr">
        <is>
          <t>2條</t>
        </is>
      </c>
      <c r="E29" s="359" t="inlineStr">
        <is>
          <t>確保 API 連線穩定</t>
        </is>
      </c>
      <c r="F29" s="197" t="n"/>
      <c r="G29" s="197" t="n"/>
      <c r="H29" s="198" t="n"/>
    </row>
    <row r="30" ht="45" customHeight="1" s="195">
      <c r="A30" s="387" t="inlineStr">
        <is>
          <t>轉借</t>
        </is>
      </c>
      <c r="B30" s="361" t="inlineStr">
        <is>
          <t>Sub2Api 接手服務</t>
        </is>
      </c>
      <c r="C30" s="361" t="inlineStr">
        <is>
          <t>Docker Compose</t>
        </is>
      </c>
      <c r="D30" s="388" t="inlineStr">
        <is>
          <t>1套</t>
        </is>
      </c>
      <c r="E30" s="389" t="inlineStr">
        <is>
          <t>FastAPI+Redis+PostgreSQL</t>
        </is>
      </c>
      <c r="F30" s="197" t="n"/>
      <c r="G30" s="197" t="n"/>
      <c r="H30" s="198" t="n"/>
    </row>
    <row r="31" ht="45" customHeight="1" s="195">
      <c r="A31" s="356" t="inlineStr">
        <is>
          <t>資安</t>
        </is>
      </c>
      <c r="B31" s="353" t="inlineStr">
        <is>
          <t>API Key 接管管理</t>
        </is>
      </c>
      <c r="C31" s="353" t="inlineStr">
        <is>
          <t>嚴格管控、不得外流</t>
        </is>
      </c>
      <c r="D31" s="357" t="inlineStr">
        <is>
          <t>—</t>
        </is>
      </c>
      <c r="E31" s="359" t="inlineStr">
        <is>
          <t>核心安全要求</t>
        </is>
      </c>
      <c r="F31" s="197" t="n"/>
      <c r="G31" s="197" t="n"/>
      <c r="H31" s="198" t="n"/>
    </row>
    <row r="33" ht="45" customHeight="1" s="195">
      <c r="A33" s="202" t="inlineStr">
        <is>
          <t>▌ 風險評估</t>
        </is>
      </c>
      <c r="B33" s="197" t="n"/>
      <c r="C33" s="197" t="n"/>
      <c r="D33" s="197" t="n"/>
      <c r="E33" s="197" t="n"/>
      <c r="F33" s="197" t="n"/>
      <c r="G33" s="197" t="n"/>
      <c r="H33" s="198" t="n"/>
    </row>
    <row r="34" ht="45" customHeight="1" s="195">
      <c r="A34" s="344" t="inlineStr">
        <is>
          <t>風險題</t>
        </is>
      </c>
      <c r="B34" s="344" t="inlineStr">
        <is>
          <t>等級</t>
        </is>
      </c>
      <c r="C34" s="344" t="inlineStr">
        <is>
          <t>說明</t>
        </is>
      </c>
      <c r="D34" s="344" t="inlineStr">
        <is>
          <t>控制方案</t>
        </is>
      </c>
      <c r="E34" s="197" t="n"/>
      <c r="F34" s="197" t="n"/>
      <c r="G34" s="197" t="n"/>
      <c r="H34" s="198" t="n"/>
    </row>
    <row r="35" ht="45" customHeight="1" s="195">
      <c r="A35" s="356" t="inlineStr">
        <is>
          <t>網路中斷或 API 服務故障</t>
        </is>
      </c>
      <c r="B35" s="349" t="inlineStr">
        <is>
          <t>高</t>
        </is>
      </c>
      <c r="C35" s="353" t="inlineStr">
        <is>
          <t>骨幹網路中斷或 API 服務商故障</t>
        </is>
      </c>
      <c r="D35" s="359" t="inlineStr">
        <is>
          <t>速率限制(RPM/TPM)+備援模式；同時串接備用供應商</t>
        </is>
      </c>
      <c r="E35" s="197" t="n"/>
      <c r="F35" s="197" t="n"/>
      <c r="G35" s="197" t="n"/>
      <c r="H35" s="198" t="n"/>
    </row>
    <row r="36" ht="45" customHeight="1" s="195">
      <c r="A36" s="365" t="inlineStr">
        <is>
          <t>帳號資料意外外洩</t>
        </is>
      </c>
      <c r="B36" s="349" t="inlineStr">
        <is>
          <t>高</t>
        </is>
      </c>
      <c r="C36" s="381" t="inlineStr">
        <is>
          <t>API Key 或客戶資料流出</t>
        </is>
      </c>
      <c r="D36" s="367" t="inlineStr">
        <is>
          <t>全端 HTTPS；API Key 無法複製出端點</t>
        </is>
      </c>
      <c r="E36" s="197" t="n"/>
      <c r="F36" s="197" t="n"/>
      <c r="G36" s="197" t="n"/>
      <c r="H36" s="198" t="n"/>
    </row>
    <row r="37" ht="45" customHeight="1" s="195">
      <c r="A37" s="370" t="inlineStr">
        <is>
          <t>頻率過高導致服務停用</t>
        </is>
      </c>
      <c r="B37" s="372" t="inlineStr">
        <is>
          <t>中</t>
        </is>
      </c>
      <c r="C37" s="231" t="inlineStr">
        <is>
          <t>短時間大量請求觸發限流</t>
        </is>
      </c>
      <c r="D37" s="235" t="inlineStr">
        <is>
          <t>用量上限 quota + 自動 failover 機制</t>
        </is>
      </c>
      <c r="E37" s="197" t="n"/>
      <c r="F37" s="197" t="n"/>
      <c r="G37" s="197" t="n"/>
      <c r="H37" s="198" t="n"/>
    </row>
    <row r="38" ht="45" customHeight="1" s="195">
      <c r="A38" s="387" t="inlineStr">
        <is>
          <t>Sub2Api 建置時間過長</t>
        </is>
      </c>
      <c r="B38" s="390" t="inlineStr">
        <is>
          <t>低</t>
        </is>
      </c>
      <c r="C38" s="361" t="inlineStr">
        <is>
          <t>W31-W40 時程跨度过長</t>
        </is>
      </c>
      <c r="D38" s="389" t="inlineStr">
        <is>
          <t>W31-W32 POC 先測；使用現有 FastAPI 模版縮短開發</t>
        </is>
      </c>
      <c r="E38" s="197" t="n"/>
      <c r="F38" s="197" t="n"/>
      <c r="G38" s="197" t="n"/>
      <c r="H38" s="198" t="n"/>
    </row>
    <row r="40" ht="45" customHeight="1" s="195">
      <c r="A40" s="202" t="inlineStr">
        <is>
          <t>▌ OpenClaw Agent 集成路線</t>
        </is>
      </c>
      <c r="B40" s="197" t="n"/>
      <c r="C40" s="197" t="n"/>
      <c r="D40" s="197" t="n"/>
      <c r="E40" s="197" t="n"/>
      <c r="F40" s="197" t="n"/>
      <c r="G40" s="197" t="n"/>
      <c r="H40" s="198" t="n"/>
    </row>
    <row r="41" ht="45" customHeight="1" s="195">
      <c r="A41" s="201" t="inlineStr">
        <is>
          <t>能功</t>
        </is>
      </c>
      <c r="B41" s="201" t="inlineStr">
        <is>
          <t>說明</t>
        </is>
      </c>
      <c r="C41" s="201" t="inlineStr">
        <is>
          <t>實现方式</t>
        </is>
      </c>
      <c r="D41" s="197" t="n"/>
      <c r="E41" s="197" t="n"/>
      <c r="F41" s="197" t="n"/>
      <c r="G41" s="197" t="n"/>
      <c r="H41" s="198" t="n"/>
    </row>
    <row r="42" ht="45" customHeight="1" s="195">
      <c r="A42" s="376" t="inlineStr">
        <is>
          <t>帳號監控</t>
        </is>
      </c>
      <c r="B42" s="231" t="inlineStr">
        <is>
          <t>每個帳號的 Token 用量、頻率、餘額即時查詢</t>
        </is>
      </c>
      <c r="C42" s="235" t="inlineStr">
        <is>
          <t>Sub2Api REST API → OpenClaw Tool</t>
        </is>
      </c>
      <c r="D42" s="197" t="n"/>
      <c r="E42" s="197" t="n"/>
      <c r="F42" s="197" t="n"/>
      <c r="G42" s="197" t="n"/>
      <c r="H42" s="198" t="n"/>
    </row>
    <row r="43" ht="45" customHeight="1" s="195">
      <c r="A43" s="380" t="inlineStr">
        <is>
          <t>自動化報表</t>
        </is>
      </c>
      <c r="B43" s="379" t="inlineStr">
        <is>
          <t>每週自動用 Sub2Api 資料生成用量報表</t>
        </is>
      </c>
      <c r="C43" s="391" t="inlineStr">
        <is>
          <t>cron: 週一 08:00 + Sub2Api API</t>
        </is>
      </c>
      <c r="D43" s="197" t="n"/>
      <c r="E43" s="197" t="n"/>
      <c r="F43" s="197" t="n"/>
      <c r="G43" s="197" t="n"/>
      <c r="H43" s="198" t="n"/>
    </row>
    <row r="44" ht="45" customHeight="1" s="195">
      <c r="A44" s="382" t="inlineStr">
        <is>
          <t>告警通知</t>
        </is>
      </c>
      <c r="B44" s="381" t="inlineStr">
        <is>
          <t>用量超過 80% 時自動發送 Telegram 告警</t>
        </is>
      </c>
      <c r="C44" s="367" t="inlineStr">
        <is>
          <t>Sub2Api Webhook + OpenClaw message</t>
        </is>
      </c>
      <c r="D44" s="197" t="n"/>
      <c r="E44" s="197" t="n"/>
      <c r="F44" s="197" t="n"/>
      <c r="G44" s="197" t="n"/>
      <c r="H44" s="198" t="n"/>
    </row>
    <row r="45" ht="45" customHeight="1" s="195">
      <c r="A45" s="383" t="inlineStr">
        <is>
          <t>限額停用</t>
        </is>
      </c>
      <c r="B45" s="353" t="inlineStr">
        <is>
          <t>用量超限自動停用該 API Key</t>
        </is>
      </c>
      <c r="C45" s="359" t="inlineStr">
        <is>
          <t>Sub2Api Quota + API Key disable</t>
        </is>
      </c>
      <c r="D45" s="197" t="n"/>
      <c r="E45" s="197" t="n"/>
      <c r="F45" s="197" t="n"/>
      <c r="G45" s="197" t="n"/>
      <c r="H45" s="198" t="n"/>
    </row>
  </sheetData>
  <mergeCells count="35">
    <mergeCell ref="D35:H35"/>
    <mergeCell ref="C41:H41"/>
    <mergeCell ref="E26:H26"/>
    <mergeCell ref="D20:H20"/>
    <mergeCell ref="D34:H34"/>
    <mergeCell ref="C44:H44"/>
    <mergeCell ref="J3:M3"/>
    <mergeCell ref="A11:H11"/>
    <mergeCell ref="C43:H43"/>
    <mergeCell ref="A1:H1"/>
    <mergeCell ref="D22:H22"/>
    <mergeCell ref="D36:H36"/>
    <mergeCell ref="D21:H21"/>
    <mergeCell ref="A25:H25"/>
    <mergeCell ref="D13:H13"/>
    <mergeCell ref="D17:H17"/>
    <mergeCell ref="A3:H3"/>
    <mergeCell ref="D16:H16"/>
    <mergeCell ref="A2:H2"/>
    <mergeCell ref="E29:H29"/>
    <mergeCell ref="A33:H33"/>
    <mergeCell ref="D37:H37"/>
    <mergeCell ref="E28:H28"/>
    <mergeCell ref="D12:H12"/>
    <mergeCell ref="C42:H42"/>
    <mergeCell ref="D15:H15"/>
    <mergeCell ref="E31:H31"/>
    <mergeCell ref="C45:H45"/>
    <mergeCell ref="E30:H30"/>
    <mergeCell ref="A19:H19"/>
    <mergeCell ref="D23:H23"/>
    <mergeCell ref="D38:H38"/>
    <mergeCell ref="D14:H14"/>
    <mergeCell ref="E27:H27"/>
    <mergeCell ref="A40:H4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M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16" customWidth="1" style="194" min="1" max="1"/>
    <col width="18" customWidth="1" style="194" min="2" max="2"/>
    <col width="10" customWidth="1" style="194" min="3" max="3"/>
    <col width="38" customWidth="1" style="194" min="4" max="4"/>
    <col width="40" customWidth="1" style="194" min="5" max="5"/>
    <col width="30" customWidth="1" style="194" min="6" max="6"/>
    <col width="12" customWidth="1" style="194" min="7" max="7"/>
    <col width="14" customWidth="1" style="194" min="8" max="9"/>
    <col width="28" customWidth="1" style="194" min="10" max="10"/>
    <col width="10" customWidth="1" style="194" min="11" max="11"/>
    <col width="25" customWidth="1" style="194" min="12" max="12"/>
    <col width="35" customWidth="1" style="194" min="13" max="13"/>
  </cols>
  <sheetData>
    <row r="1" ht="27.75" customHeight="1" s="195">
      <c r="A1" s="392" t="inlineStr">
        <is>
          <t>T10開發計劃｜FDE 前沿部門教育訓練  ｜  Team-III  ｜  2026 July</t>
        </is>
      </c>
    </row>
    <row r="2" ht="60" customHeight="1" s="195">
      <c r="A2" s="237" t="inlineStr">
        <is>
          <t>▸ 此表追蹤 FDE（Function Development Engineering）前沿部門的 AI 協作教育訓練進度
▸ 請填寫 I 欄（實際完成日）與 K 欄（進度%），M 欄填入實際交付路徑
▸ 負責人：Sam(統籌) / Jimmy(工具操作) / Patty(知識工程) / Anderson(Eval) / Alf(Prompt)
▸ 交付至：驗證三部/教育訓練</t>
        </is>
      </c>
    </row>
    <row r="3" ht="21.75" customHeight="1" s="195">
      <c r="A3" s="238" t="inlineStr">
        <is>
          <t>階段</t>
        </is>
      </c>
      <c r="B3" s="238" t="inlineStr">
        <is>
          <t>子項目</t>
        </is>
      </c>
      <c r="C3" s="238" t="inlineStr">
        <is>
          <t>任務編號</t>
        </is>
      </c>
      <c r="D3" s="238" t="inlineStr">
        <is>
          <t>任務名稱</t>
        </is>
      </c>
      <c r="E3" s="238" t="inlineStr">
        <is>
          <t>任務說明</t>
        </is>
      </c>
      <c r="F3" s="238" t="inlineStr">
        <is>
          <t>交付產出</t>
        </is>
      </c>
      <c r="G3" s="238" t="inlineStr">
        <is>
          <t>負責人</t>
        </is>
      </c>
      <c r="H3" s="238" t="inlineStr">
        <is>
          <t>預計完成日</t>
        </is>
      </c>
      <c r="I3" s="238" t="inlineStr">
        <is>
          <t>實際完成日</t>
        </is>
      </c>
      <c r="J3" s="238" t="inlineStr">
        <is>
          <t>開發狀態</t>
        </is>
      </c>
      <c r="K3" s="238" t="inlineStr">
        <is>
          <t>進度(%)</t>
        </is>
      </c>
      <c r="L3" s="238" t="inlineStr">
        <is>
          <t>備註</t>
        </is>
      </c>
      <c r="M3" s="238" t="inlineStr">
        <is>
          <t>交付路徑</t>
        </is>
      </c>
    </row>
    <row r="4" ht="18" customHeight="1" s="195">
      <c r="A4" s="393" t="inlineStr">
        <is>
          <t xml:space="preserve">  Phase 1｜AI 協作基礎培訓</t>
        </is>
      </c>
      <c r="B4" s="247" t="n"/>
      <c r="C4" s="247" t="n"/>
      <c r="D4" s="247" t="n"/>
      <c r="E4" s="247" t="n"/>
      <c r="F4" s="247" t="n"/>
      <c r="G4" s="247" t="n"/>
      <c r="H4" s="247" t="n"/>
      <c r="I4" s="247" t="n"/>
      <c r="J4" s="247" t="n"/>
      <c r="K4" s="247" t="n"/>
      <c r="L4" s="247" t="n"/>
      <c r="M4" s="248" t="n"/>
    </row>
    <row r="5" ht="30" customHeight="1" s="195">
      <c r="A5" s="242" t="inlineStr">
        <is>
          <t>系統培訓</t>
        </is>
      </c>
      <c r="B5" s="242" t="inlineStr">
        <is>
          <t>AI素養</t>
        </is>
      </c>
      <c r="C5" s="242" t="inlineStr">
        <is>
          <t>T10-01</t>
        </is>
      </c>
      <c r="D5" s="242" t="inlineStr">
        <is>
          <t>AI/Agentic AI 核心概念培訓</t>
        </is>
      </c>
      <c r="E5" s="242" t="inlineStr">
        <is>
          <t>L1-L5 架構、Agent 是什麼、為何重要，建立部門共同語言</t>
        </is>
      </c>
      <c r="F5" s="242" t="inlineStr">
        <is>
          <t>培訓教材 v1 + 測驗卷</t>
        </is>
      </c>
      <c r="G5" s="242" t="inlineStr">
        <is>
          <t>Sam</t>
        </is>
      </c>
      <c r="H5" s="242" t="inlineStr">
        <is>
          <t>2026-08-15</t>
        </is>
      </c>
      <c r="I5" s="242" t="n"/>
      <c r="J5" s="242" t="inlineStr">
        <is>
          <t>▸ 請填寫狀態</t>
        </is>
      </c>
      <c r="K5" s="244" t="n">
        <v>0</v>
      </c>
      <c r="L5" s="242" t="inlineStr">
        <is>
          <t>FDE 全員必修</t>
        </is>
      </c>
      <c r="M5" s="242" t="n"/>
    </row>
    <row r="6" ht="30" customHeight="1" s="195">
      <c r="A6" s="242" t="inlineStr">
        <is>
          <t>系統培訓</t>
        </is>
      </c>
      <c r="B6" s="242" t="inlineStr">
        <is>
          <t>部門介紹</t>
        </is>
      </c>
      <c r="C6" s="242" t="inlineStr">
        <is>
          <t>T10-02</t>
        </is>
      </c>
      <c r="D6" s="242" t="inlineStr">
        <is>
          <t>FDE 部門定位與 Agentic AI 落地願景</t>
        </is>
      </c>
      <c r="E6" s="242" t="inlineStr">
        <is>
          <t>讓成員理解 FDE 在公司 Agentic AI 戰略中的角色與價值</t>
        </is>
      </c>
      <c r="F6" s="242" t="inlineStr">
        <is>
          <t>願景文件</t>
        </is>
      </c>
      <c r="G6" s="242" t="inlineStr">
        <is>
          <t>Sam</t>
        </is>
      </c>
      <c r="H6" s="242" t="inlineStr">
        <is>
          <t>2026-08-15</t>
        </is>
      </c>
      <c r="I6" s="242" t="n"/>
      <c r="J6" s="242" t="inlineStr">
        <is>
          <t>▸ 請填寫狀態</t>
        </is>
      </c>
      <c r="K6" s="244" t="n">
        <v>0</v>
      </c>
      <c r="L6" s="242" t="inlineStr">
        <is>
          <t>FDE 全員</t>
        </is>
      </c>
      <c r="M6" s="242" t="n"/>
    </row>
    <row r="7" ht="18" customHeight="1" s="195">
      <c r="A7" s="393" t="inlineStr">
        <is>
          <t xml:space="preserve">  Phase 2｜工具操作訓練</t>
        </is>
      </c>
      <c r="B7" s="247" t="n"/>
      <c r="C7" s="247" t="n"/>
      <c r="D7" s="247" t="n"/>
      <c r="E7" s="247" t="n"/>
      <c r="F7" s="247" t="n"/>
      <c r="G7" s="247" t="n"/>
      <c r="H7" s="247" t="n"/>
      <c r="I7" s="247" t="n"/>
      <c r="J7" s="247" t="n"/>
      <c r="K7" s="247" t="n"/>
      <c r="L7" s="247" t="n"/>
      <c r="M7" s="248" t="n"/>
    </row>
    <row r="8" ht="30" customHeight="1" s="195">
      <c r="A8" s="242" t="inlineStr">
        <is>
          <t>工具訓練</t>
        </is>
      </c>
      <c r="B8" s="242" t="inlineStr">
        <is>
          <t>Neo4j操作</t>
        </is>
      </c>
      <c r="C8" s="242" t="inlineStr">
        <is>
          <t>T10-03</t>
        </is>
      </c>
      <c r="D8" s="242" t="inlineStr">
        <is>
          <t>Neo4j 圖譜操作與知識入庫培訓</t>
        </is>
      </c>
      <c r="E8" s="242" t="inlineStr">
        <is>
          <t>圖譜設計、節點建立、關係建立、Cypher 查詢基礎</t>
        </is>
      </c>
      <c r="F8" s="242" t="inlineStr">
        <is>
          <t>Neo4j 操作手冊 + 練習題</t>
        </is>
      </c>
      <c r="G8" s="242" t="inlineStr">
        <is>
          <t>Jimmy</t>
        </is>
      </c>
      <c r="H8" s="242" t="inlineStr">
        <is>
          <t>2026-08-22</t>
        </is>
      </c>
      <c r="I8" s="242" t="n"/>
      <c r="J8" s="242" t="inlineStr">
        <is>
          <t>▸ 請填寫狀態</t>
        </is>
      </c>
      <c r="K8" s="244" t="n">
        <v>0</v>
      </c>
      <c r="L8" s="242" t="inlineStr">
        <is>
          <t>工程師實作</t>
        </is>
      </c>
      <c r="M8" s="242" t="n"/>
    </row>
    <row r="9" ht="30" customHeight="1" s="195">
      <c r="A9" s="242" t="inlineStr">
        <is>
          <t>工具訓練</t>
        </is>
      </c>
      <c r="B9" s="242" t="inlineStr">
        <is>
          <t>Qdrant操作</t>
        </is>
      </c>
      <c r="C9" s="242" t="inlineStr">
        <is>
          <t>T10-04</t>
        </is>
      </c>
      <c r="D9" s="242" t="inlineStr">
        <is>
          <t>Qdrant 向量資料庫操作培訓</t>
        </is>
      </c>
      <c r="E9" s="242" t="inlineStr">
        <is>
          <t>向量索引、RAG 檢索、相似度搜索操作</t>
        </is>
      </c>
      <c r="F9" s="242" t="inlineStr">
        <is>
          <t>Qdrant 操作手冊 + 練習題</t>
        </is>
      </c>
      <c r="G9" s="242" t="inlineStr">
        <is>
          <t>Jimmy</t>
        </is>
      </c>
      <c r="H9" s="242" t="inlineStr">
        <is>
          <t>2026-08-22</t>
        </is>
      </c>
      <c r="I9" s="242" t="n"/>
      <c r="J9" s="242" t="inlineStr">
        <is>
          <t>▸ 請填寫狀態</t>
        </is>
      </c>
      <c r="K9" s="244" t="n">
        <v>0</v>
      </c>
      <c r="L9" s="242" t="inlineStr">
        <is>
          <t>工程師實作</t>
        </is>
      </c>
      <c r="M9" s="242" t="n"/>
    </row>
    <row r="10" ht="30" customHeight="1" s="195">
      <c r="A10" s="242" t="inlineStr">
        <is>
          <t>工具訓練</t>
        </is>
      </c>
      <c r="B10" s="242" t="inlineStr">
        <is>
          <t>Wiki系統</t>
        </is>
      </c>
      <c r="C10" s="242" t="inlineStr">
        <is>
          <t>T10-05</t>
        </is>
      </c>
      <c r="D10" s="242" t="inlineStr">
        <is>
          <t>LLM Wiki 知識庫操作培訓</t>
        </is>
      </c>
      <c r="E10" s="242" t="inlineStr">
        <is>
          <t>如何新增頁面、組織結構、與 Neo4j/Qdrant 整合使用</t>
        </is>
      </c>
      <c r="F10" s="242" t="inlineStr">
        <is>
          <t>Wiki 使用指南</t>
        </is>
      </c>
      <c r="G10" s="242" t="inlineStr">
        <is>
          <t>Jimmy</t>
        </is>
      </c>
      <c r="H10" s="242" t="inlineStr">
        <is>
          <t>2026-08-29</t>
        </is>
      </c>
      <c r="I10" s="242" t="n"/>
      <c r="J10" s="242" t="inlineStr">
        <is>
          <t>▸ 請填寫狀態</t>
        </is>
      </c>
      <c r="K10" s="244" t="n">
        <v>0</v>
      </c>
      <c r="L10" s="242" t="inlineStr">
        <is>
          <t>工程師實作</t>
        </is>
      </c>
      <c r="M10" s="242" t="n"/>
    </row>
    <row r="11" ht="18" customHeight="1" s="195">
      <c r="A11" s="393" t="inlineStr">
        <is>
          <t xml:space="preserve">  Phase 3｜實務應用訓練</t>
        </is>
      </c>
      <c r="B11" s="247" t="n"/>
      <c r="C11" s="247" t="n"/>
      <c r="D11" s="247" t="n"/>
      <c r="E11" s="247" t="n"/>
      <c r="F11" s="247" t="n"/>
      <c r="G11" s="247" t="n"/>
      <c r="H11" s="247" t="n"/>
      <c r="I11" s="247" t="n"/>
      <c r="J11" s="247" t="n"/>
      <c r="K11" s="247" t="n"/>
      <c r="L11" s="247" t="n"/>
      <c r="M11" s="248" t="n"/>
    </row>
    <row r="12" ht="30" customHeight="1" s="195">
      <c r="A12" s="242" t="inlineStr">
        <is>
          <t>實務訓練</t>
        </is>
      </c>
      <c r="B12" s="242" t="inlineStr">
        <is>
          <t>Prompt Eng.</t>
        </is>
      </c>
      <c r="C12" s="242" t="inlineStr">
        <is>
          <t>T10-06</t>
        </is>
      </c>
      <c r="D12" s="242" t="inlineStr">
        <is>
          <t>Prompt Engineering 實務培訓</t>
        </is>
      </c>
      <c r="E12" s="242" t="inlineStr">
        <is>
          <t>如何與 AI 有效溝通、避免幻覺、撰寫清晰指令</t>
        </is>
      </c>
      <c r="F12" s="242" t="inlineStr">
        <is>
          <t>Prompt 範本庫 + 案例手冊</t>
        </is>
      </c>
      <c r="G12" s="242" t="inlineStr">
        <is>
          <t>Alf</t>
        </is>
      </c>
      <c r="H12" s="242" t="inlineStr">
        <is>
          <t>2026-09-05</t>
        </is>
      </c>
      <c r="I12" s="242" t="n"/>
      <c r="J12" s="242" t="inlineStr">
        <is>
          <t>▸ 請填寫狀態</t>
        </is>
      </c>
      <c r="K12" s="244" t="n">
        <v>0</v>
      </c>
      <c r="L12" s="242" t="inlineStr">
        <is>
          <t>工程師實作</t>
        </is>
      </c>
      <c r="M12" s="242" t="n"/>
    </row>
    <row r="13" ht="30" customHeight="1" s="195">
      <c r="A13" s="242" t="inlineStr">
        <is>
          <t>實務訓練</t>
        </is>
      </c>
      <c r="B13" s="242" t="inlineStr">
        <is>
          <t>知識工程</t>
        </is>
      </c>
      <c r="C13" s="242" t="inlineStr">
        <is>
          <t>T10-07</t>
        </is>
      </c>
      <c r="D13" s="242" t="inlineStr">
        <is>
          <t>知識沉澱與文件化實務培訓</t>
        </is>
      </c>
      <c r="E13" s="242" t="inlineStr">
        <is>
          <t>如何寫出讓 AI 能理解的技術文件、知識萃取方法</t>
        </is>
      </c>
      <c r="F13" s="242" t="inlineStr">
        <is>
          <t>知識工程指南</t>
        </is>
      </c>
      <c r="G13" s="242" t="inlineStr">
        <is>
          <t>Patty</t>
        </is>
      </c>
      <c r="H13" s="242" t="inlineStr">
        <is>
          <t>2026-09-05</t>
        </is>
      </c>
      <c r="I13" s="242" t="n"/>
      <c r="J13" s="242" t="inlineStr">
        <is>
          <t>▸ 請填寫狀態</t>
        </is>
      </c>
      <c r="K13" s="244" t="n">
        <v>0</v>
      </c>
      <c r="L13" s="242" t="inlineStr">
        <is>
          <t>知識管理核心</t>
        </is>
      </c>
      <c r="M13" s="242" t="n"/>
    </row>
    <row r="14" ht="30" customHeight="1" s="195">
      <c r="A14" s="242" t="inlineStr">
        <is>
          <t>實務訓練</t>
        </is>
      </c>
      <c r="B14" s="242" t="inlineStr">
        <is>
          <t>Eval評估</t>
        </is>
      </c>
      <c r="C14" s="242" t="inlineStr">
        <is>
          <t>T10-08</t>
        </is>
      </c>
      <c r="D14" s="242" t="inlineStr">
        <is>
          <t>AI 產出品質評估方法培訓</t>
        </is>
      </c>
      <c r="E14" s="242" t="inlineStr">
        <is>
          <t>制訂評估指標、判斷 AI 產出品質、持續改善方法</t>
        </is>
      </c>
      <c r="F14" s="242" t="inlineStr">
        <is>
          <t>Eval 方法論文件</t>
        </is>
      </c>
      <c r="G14" s="242" t="inlineStr">
        <is>
          <t>Anderson</t>
        </is>
      </c>
      <c r="H14" s="242" t="inlineStr">
        <is>
          <t>2026-09-10</t>
        </is>
      </c>
      <c r="I14" s="242" t="n"/>
      <c r="J14" s="242" t="inlineStr">
        <is>
          <t>▸ 請填寫狀態</t>
        </is>
      </c>
      <c r="K14" s="244" t="n">
        <v>0</v>
      </c>
      <c r="L14" s="242" t="inlineStr">
        <is>
          <t>品質把關</t>
        </is>
      </c>
      <c r="M14" s="242" t="n"/>
    </row>
    <row r="15" ht="18" customHeight="1" s="195">
      <c r="A15" s="393" t="inlineStr">
        <is>
          <t xml:space="preserve">  Phase 4｜內部分享與文化建立</t>
        </is>
      </c>
      <c r="B15" s="247" t="n"/>
      <c r="C15" s="247" t="n"/>
      <c r="D15" s="247" t="n"/>
      <c r="E15" s="247" t="n"/>
      <c r="F15" s="247" t="n"/>
      <c r="G15" s="247" t="n"/>
      <c r="H15" s="247" t="n"/>
      <c r="I15" s="247" t="n"/>
      <c r="J15" s="247" t="n"/>
      <c r="K15" s="247" t="n"/>
      <c r="L15" s="247" t="n"/>
      <c r="M15" s="248" t="n"/>
    </row>
    <row r="16" ht="30" customHeight="1" s="195">
      <c r="A16" s="242" t="inlineStr">
        <is>
          <t>文化建立</t>
        </is>
      </c>
      <c r="B16" s="242" t="inlineStr">
        <is>
          <t>每月分享</t>
        </is>
      </c>
      <c r="C16" s="242" t="inlineStr">
        <is>
          <t>T10-09</t>
        </is>
      </c>
      <c r="D16" s="242" t="inlineStr">
        <is>
          <t>AI 協作每月分享會 #1</t>
        </is>
      </c>
      <c r="E16" s="242" t="inlineStr">
        <is>
          <t>輪流由成員分享本月 AI 協作心得、成果、困難</t>
        </is>
      </c>
      <c r="F16" s="242" t="inlineStr">
        <is>
          <t>會議紀錄 + 分享簡報</t>
        </is>
      </c>
      <c r="G16" s="242" t="inlineStr">
        <is>
          <t>Sam</t>
        </is>
      </c>
      <c r="H16" s="242" t="inlineStr">
        <is>
          <t>2026-09-12</t>
        </is>
      </c>
      <c r="I16" s="242" t="n"/>
      <c r="J16" s="242" t="inlineStr">
        <is>
          <t>▸ 請填寫狀態</t>
        </is>
      </c>
      <c r="K16" s="244" t="n">
        <v>0</v>
      </c>
      <c r="L16" s="242" t="inlineStr">
        <is>
          <t>每月定期</t>
        </is>
      </c>
      <c r="M16" s="242" t="n"/>
    </row>
    <row r="17" ht="30" customHeight="1" s="195">
      <c r="A17" s="242" t="inlineStr">
        <is>
          <t>文化建立</t>
        </is>
      </c>
      <c r="B17" s="242" t="inlineStr">
        <is>
          <t>每月分享</t>
        </is>
      </c>
      <c r="C17" s="242" t="inlineStr">
        <is>
          <t>T10-10</t>
        </is>
      </c>
      <c r="D17" s="242" t="inlineStr">
        <is>
          <t>AI 協作每月分享會 #2</t>
        </is>
      </c>
      <c r="E17" s="242" t="inlineStr">
        <is>
          <t>第二個月分享會</t>
        </is>
      </c>
      <c r="F17" s="242" t="inlineStr">
        <is>
          <t>會議紀錄 + 分享簡報</t>
        </is>
      </c>
      <c r="G17" s="242" t="inlineStr">
        <is>
          <t>Sam</t>
        </is>
      </c>
      <c r="H17" s="242" t="inlineStr">
        <is>
          <t>2026-10-10</t>
        </is>
      </c>
      <c r="I17" s="242" t="n"/>
      <c r="J17" s="242" t="inlineStr">
        <is>
          <t>▸ 請填寫狀態</t>
        </is>
      </c>
      <c r="K17" s="244" t="n">
        <v>0</v>
      </c>
      <c r="L17" s="242" t="inlineStr">
        <is>
          <t>每月定期</t>
        </is>
      </c>
      <c r="M17" s="242" t="n"/>
    </row>
    <row r="18" ht="30" customHeight="1" s="195">
      <c r="A18" s="242" t="inlineStr">
        <is>
          <t>文化建立</t>
        </is>
      </c>
      <c r="B18" s="242" t="inlineStr">
        <is>
          <t>案例累積</t>
        </is>
      </c>
      <c r="C18" s="242" t="inlineStr">
        <is>
          <t>T10-11</t>
        </is>
      </c>
      <c r="D18" s="242" t="inlineStr">
        <is>
          <t>成功與失敗案例彙編</t>
        </is>
      </c>
      <c r="E18" s="242" t="inlineStr">
        <is>
          <t>彙整部門 AI 協作的成功與失敗案例，作為學習素材</t>
        </is>
      </c>
      <c r="F18" s="242" t="inlineStr">
        <is>
          <t>案例庫文件</t>
        </is>
      </c>
      <c r="G18" s="242" t="inlineStr">
        <is>
          <t>Alf</t>
        </is>
      </c>
      <c r="H18" s="242" t="inlineStr">
        <is>
          <t>2026-10-31</t>
        </is>
      </c>
      <c r="I18" s="242" t="n"/>
      <c r="J18" s="242" t="inlineStr">
        <is>
          <t>▸ 請填寫狀態</t>
        </is>
      </c>
      <c r="K18" s="244" t="n">
        <v>0</v>
      </c>
      <c r="L18" s="242" t="inlineStr">
        <is>
          <t>知識傳承</t>
        </is>
      </c>
      <c r="M18" s="242" t="n"/>
    </row>
    <row r="20" ht="18" customHeight="1" s="195">
      <c r="A20" s="246" t="inlineStr">
        <is>
          <t xml:space="preserve">  【額外教育訓練項目 - 不在上述範圍，請自行新增】</t>
        </is>
      </c>
      <c r="B20" s="247" t="n"/>
      <c r="C20" s="247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47" t="n"/>
      <c r="M20" s="248" t="n"/>
    </row>
    <row r="21" ht="21.75" customHeight="1" s="195">
      <c r="A21" s="249" t="n"/>
      <c r="B21" s="249" t="n"/>
      <c r="C21" s="250" t="inlineStr">
        <is>
          <t>E01</t>
        </is>
      </c>
      <c r="D21" s="249" t="n"/>
      <c r="E21" s="249" t="n"/>
      <c r="F21" s="249" t="n"/>
      <c r="G21" s="249" t="n"/>
      <c r="H21" s="249" t="n"/>
      <c r="I21" s="249" t="n"/>
      <c r="J21" s="249" t="n"/>
      <c r="K21" s="251" t="n"/>
      <c r="L21" s="249" t="n"/>
      <c r="M21" s="249" t="n"/>
    </row>
    <row r="22" ht="21.75" customHeight="1" s="195">
      <c r="A22" s="249" t="n"/>
      <c r="B22" s="249" t="n"/>
      <c r="C22" s="250" t="inlineStr">
        <is>
          <t>E02</t>
        </is>
      </c>
      <c r="D22" s="249" t="n"/>
      <c r="E22" s="249" t="n"/>
      <c r="F22" s="249" t="n"/>
      <c r="G22" s="249" t="n"/>
      <c r="H22" s="249" t="n"/>
      <c r="I22" s="249" t="n"/>
      <c r="J22" s="249" t="n"/>
      <c r="K22" s="251" t="n"/>
      <c r="L22" s="249" t="n"/>
      <c r="M22" s="249" t="n"/>
    </row>
    <row r="23" ht="21.75" customHeight="1" s="195">
      <c r="A23" s="249" t="n"/>
      <c r="B23" s="249" t="n"/>
      <c r="C23" s="250" t="inlineStr">
        <is>
          <t>E03</t>
        </is>
      </c>
      <c r="D23" s="249" t="n"/>
      <c r="E23" s="249" t="n"/>
      <c r="F23" s="249" t="n"/>
      <c r="G23" s="249" t="n"/>
      <c r="H23" s="249" t="n"/>
      <c r="I23" s="249" t="n"/>
      <c r="J23" s="249" t="n"/>
      <c r="K23" s="251" t="n"/>
      <c r="L23" s="249" t="n"/>
      <c r="M23" s="249" t="n"/>
    </row>
    <row r="24" ht="21.75" customHeight="1" s="195">
      <c r="A24" s="249" t="n"/>
      <c r="B24" s="249" t="n"/>
      <c r="C24" s="250" t="inlineStr">
        <is>
          <t>E04</t>
        </is>
      </c>
      <c r="D24" s="249" t="n"/>
      <c r="E24" s="249" t="n"/>
      <c r="F24" s="249" t="n"/>
      <c r="G24" s="249" t="n"/>
      <c r="H24" s="249" t="n"/>
      <c r="I24" s="249" t="n"/>
      <c r="J24" s="249" t="n"/>
      <c r="K24" s="251" t="n"/>
      <c r="L24" s="249" t="n"/>
      <c r="M24" s="249" t="n"/>
    </row>
    <row r="25" ht="21.75" customHeight="1" s="195">
      <c r="A25" s="249" t="n"/>
      <c r="B25" s="249" t="n"/>
      <c r="C25" s="250" t="inlineStr">
        <is>
          <t>E05</t>
        </is>
      </c>
      <c r="D25" s="249" t="n"/>
      <c r="E25" s="249" t="n"/>
      <c r="F25" s="249" t="n"/>
      <c r="G25" s="249" t="n"/>
      <c r="H25" s="249" t="n"/>
      <c r="I25" s="249" t="n"/>
      <c r="J25" s="249" t="n"/>
      <c r="K25" s="251" t="n"/>
      <c r="L25" s="249" t="n"/>
      <c r="M25" s="249" t="n"/>
    </row>
  </sheetData>
  <mergeCells count="7">
    <mergeCell ref="A1:M1"/>
    <mergeCell ref="A4:M4"/>
    <mergeCell ref="A15:M15"/>
    <mergeCell ref="A7:M7"/>
    <mergeCell ref="A20:M20"/>
    <mergeCell ref="A2:M2"/>
    <mergeCell ref="A11:M1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zh-TW</dc:language>
  <dcterms:created xmlns:dcterms="http://purl.org/dc/terms/" xmlns:xsi="http://www.w3.org/2001/XMLSchema-instance" xsi:type="dcterms:W3CDTF">2026-08-13T10:15:03Z</dcterms:created>
  <dcterms:modified xmlns:dcterms="http://purl.org/dc/terms/" xmlns:xsi="http://www.w3.org/2001/XMLSchema-instance" xsi:type="dcterms:W3CDTF">2026-09-17T06:54:58Z</dcterms:modified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0x010100EC6D9E21F81D814EB7F080FB0C989162</vt:lpwstr>
  </property>
  <property name="MediaServiceImageTags" fmtid="{D5CDD505-2E9C-101B-9397-08002B2CF9AE}" pid="3">
    <vt:lpwstr xmlns:vt="http://schemas.openxmlformats.org/officeDocument/2006/docPropsVTypes"/>
  </property>
</Properties>
</file>